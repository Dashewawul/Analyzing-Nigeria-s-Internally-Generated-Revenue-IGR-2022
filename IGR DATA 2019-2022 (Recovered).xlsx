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24226"/>
  <mc:AlternateContent xmlns:mc="http://schemas.openxmlformats.org/markup-compatibility/2006">
    <mc:Choice Requires="x15">
      <x15ac:absPath xmlns:x15ac="http://schemas.microsoft.com/office/spreadsheetml/2010/11/ac" url="C:\Users\Dell\Documents\project(First)\"/>
    </mc:Choice>
  </mc:AlternateContent>
  <xr:revisionPtr revIDLastSave="0" documentId="13_ncr:1_{47DF24FB-9D7C-47B9-9398-8F18764444E4}" xr6:coauthVersionLast="47" xr6:coauthVersionMax="47" xr10:uidLastSave="{00000000-0000-0000-0000-000000000000}"/>
  <bookViews>
    <workbookView xWindow="-120" yWindow="-120" windowWidth="20730" windowHeight="11040" activeTab="1" xr2:uid="{00000000-000D-0000-FFFF-FFFF00000000}"/>
  </bookViews>
  <sheets>
    <sheet name="2022" sheetId="3" r:id="rId1"/>
    <sheet name="DASHBOARD" sheetId="6" r:id="rId2"/>
    <sheet name="pivot table" sheetId="9" r:id="rId3"/>
  </sheets>
  <definedNames>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39" i="3" l="1"/>
  <c r="B39" i="3"/>
  <c r="C39" i="3"/>
  <c r="D39" i="3"/>
  <c r="E39" i="3"/>
  <c r="F39" i="3"/>
  <c r="G39" i="3"/>
  <c r="H39" i="3"/>
  <c r="I39" i="3"/>
  <c r="J39" i="3"/>
  <c r="K39" i="3"/>
  <c r="L39" i="3"/>
  <c r="M39" i="3"/>
  <c r="F45" i="3" l="1"/>
  <c r="J30" i="9"/>
</calcChain>
</file>

<file path=xl/sharedStrings.xml><?xml version="1.0" encoding="utf-8"?>
<sst xmlns="http://schemas.openxmlformats.org/spreadsheetml/2006/main" count="145" uniqueCount="70">
  <si>
    <t>STATE</t>
  </si>
  <si>
    <t>PAYE</t>
  </si>
  <si>
    <t>DIRECT ASSESSMENT</t>
  </si>
  <si>
    <t>ROAD TAXES</t>
  </si>
  <si>
    <t>STAMP DUTIES</t>
  </si>
  <si>
    <t>CAPITAL GAIN TAX</t>
  </si>
  <si>
    <t>MDAs REVENUE</t>
  </si>
  <si>
    <t>TOTAL</t>
  </si>
  <si>
    <t>OTHER TAXES</t>
  </si>
  <si>
    <t>LAGOS</t>
  </si>
  <si>
    <t>OGUN</t>
  </si>
  <si>
    <t>OYO</t>
  </si>
  <si>
    <t>EDO</t>
  </si>
  <si>
    <t>KANO</t>
  </si>
  <si>
    <t>KWARA</t>
  </si>
  <si>
    <t>AKWA IBOM</t>
  </si>
  <si>
    <t>ONDO</t>
  </si>
  <si>
    <t>JIGAWA</t>
  </si>
  <si>
    <t>ABIA</t>
  </si>
  <si>
    <t>IMO</t>
  </si>
  <si>
    <t>BORNO</t>
  </si>
  <si>
    <t>KOGI</t>
  </si>
  <si>
    <t>EKITI</t>
  </si>
  <si>
    <t>GOMBE</t>
  </si>
  <si>
    <t>EBONYI</t>
  </si>
  <si>
    <t>TOTAL TAX</t>
  </si>
  <si>
    <t>SNo</t>
  </si>
  <si>
    <t>WITHHOLDING TAX</t>
  </si>
  <si>
    <t>LGA Revenue</t>
  </si>
  <si>
    <t>RIVERS</t>
  </si>
  <si>
    <t>FEDERAL CAPITAL TERRITORY</t>
  </si>
  <si>
    <t>DELTA</t>
  </si>
  <si>
    <t>ANAMBRA</t>
  </si>
  <si>
    <t>ENUGU</t>
  </si>
  <si>
    <t>BAUCHI</t>
  </si>
  <si>
    <t>SOKOTO</t>
  </si>
  <si>
    <t>OSUN</t>
  </si>
  <si>
    <t>CROSS RIVER</t>
  </si>
  <si>
    <t>ZAMFARA</t>
  </si>
  <si>
    <t>NASSARAWA</t>
  </si>
  <si>
    <t>NIGER</t>
  </si>
  <si>
    <t>BENUE</t>
  </si>
  <si>
    <t>PLATEAU</t>
  </si>
  <si>
    <t>BAYELSA</t>
  </si>
  <si>
    <t>ADAMAWA</t>
  </si>
  <si>
    <t>KATSINA</t>
  </si>
  <si>
    <t>YOBE</t>
  </si>
  <si>
    <t>TARABA</t>
  </si>
  <si>
    <t>KEBBI</t>
  </si>
  <si>
    <t>Row Labels</t>
  </si>
  <si>
    <t>Grand Total</t>
  </si>
  <si>
    <t>Sum of LGA Revenue</t>
  </si>
  <si>
    <t>Sum of TOTAL</t>
  </si>
  <si>
    <t>KADUNA</t>
  </si>
  <si>
    <t>Sum of PAYE</t>
  </si>
  <si>
    <t>Sum of ROAD TAXES</t>
  </si>
  <si>
    <t>Count of STATE</t>
  </si>
  <si>
    <t xml:space="preserve"> MDAs REVENUE</t>
  </si>
  <si>
    <t xml:space="preserve"> PAYE</t>
  </si>
  <si>
    <t xml:space="preserve"> DIRECT ASSESSMENT</t>
  </si>
  <si>
    <t xml:space="preserve"> ROAD TAXES</t>
  </si>
  <si>
    <t xml:space="preserve"> STAMP DUTIES</t>
  </si>
  <si>
    <t xml:space="preserve"> CAPITAL GAIN TAX</t>
  </si>
  <si>
    <t xml:space="preserve"> WITHHOLDING TAX</t>
  </si>
  <si>
    <t xml:space="preserve"> OTHER TAXES</t>
  </si>
  <si>
    <t xml:space="preserve"> LGA Revenue</t>
  </si>
  <si>
    <t xml:space="preserve"> TOTAL TAX</t>
  </si>
  <si>
    <t xml:space="preserve"> TOTAL</t>
  </si>
  <si>
    <t>TOTAL REVENUE 2022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</si>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</sst>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10409]#,##0.00;\(#,##0.00\)"/>
  </numFmts>
  <fonts count="14" x14ac:knownFonts="1">
    <font>
      <sz val="10"/>
      <color rgb="FF000000"/>
      <name val="Times New Roman"/>
      <charset val="204"/>
    </font>
    <font>
      <b/>
      <sz val="11"/>
      <color theme="1"/>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
      <sz val="14"/>
      <color rgb="FF000000"/>
      <name val="Calibri"/>
      <family val="2"/>
      <scheme val="minor"/>
    </font>
    <font>
      <sz val="10"/>
      <color rgb="FF000000"/>
      <name val="Times New Roman"/>
      <charset val="204"/>
    </font>
    <font>
      <sz val="10"/>
      <color theme="1"/>
      <name val="Times New Roman"/>
      <charset val="204"/>
    </font>
    <font>
      <sz val="20"/>
      <color rgb="FF000000"/>
      <name val="Times New Roman"/>
      <family val="1"/>
    </font>
    <font>
      <sz val="10"/>
      <color theme="4" tint="0.39997558519241921"/>
      <name val="Times New Roman"/>
      <charset val="204"/>
    </font>
    <font>
      <sz val="28"/>
      <color theme="2"/>
      <name val="Times New Roman"/>
      <charset val="204"/>
    </font>
    <font>
      <sz val="10"/>
      <color rgb="FFC00000"/>
      <name val="Times New Roman"/>
      <charset val="204"/>
    </font>
    <font>
      <sz val="11"/>
      <color theme="0"/>
      <name val="Calibri"/>
      <family val="2"/>
      <scheme val="minor"/>
    </font>
    <font>
      <sz val="14"/>
      <color theme="1"/>
      <name val="Calibri"/>
      <scheme val="minor"/>
    </font>
  </fonts>
  <fills count="5">
    <fill>
      <patternFill patternType="none"/>
    </fill>
    <fill>
      <patternFill patternType="gray125"/>
    </fill>
    <fill>
      <patternFill patternType="solid">
        <fgColor theme="9" tint="0.39997558519241921"/>
        <bgColor indexed="64"/>
      </patternFill>
    </fill>
    <fill>
      <patternFill patternType="solid">
        <fgColor theme="6"/>
        <bgColor indexed="64"/>
      </patternFill>
    </fill>
    <fill>
      <patternFill patternType="solid">
        <fgColor theme="6"/>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44" fontId="6" fillId="0" borderId="0" applyFont="0" applyFill="0" applyBorder="0" applyAlignment="0" applyProtection="0"/>
    <xf numFmtId="0" fontId="12" fillId="4" borderId="0" applyNumberFormat="0" applyBorder="0" applyAlignment="0" applyProtection="0"/>
  </cellStyleXfs>
  <cellXfs count="30">
    <xf numFmtId="0" fontId="0" fillId="0" borderId="0" xfId="0" applyAlignment="1">
      <alignment horizontal="left" vertical="top"/>
    </xf>
    <xf numFmtId="0" fontId="0" fillId="0" borderId="0" xfId="0"/>
    <xf numFmtId="0" fontId="1" fillId="0" borderId="0" xfId="0" applyFont="1"/>
    <xf numFmtId="0" fontId="3" fillId="2" borderId="0" xfId="0" applyFont="1" applyFill="1"/>
    <xf numFmtId="0" fontId="4" fillId="0" borderId="1" xfId="0" applyFont="1" applyBorder="1"/>
    <xf numFmtId="0" fontId="4" fillId="0" borderId="3" xfId="0" applyFont="1" applyBorder="1"/>
    <xf numFmtId="164" fontId="0" fillId="0" borderId="0" xfId="0" applyNumberFormat="1"/>
    <xf numFmtId="0" fontId="2" fillId="2" borderId="3" xfId="0" applyFont="1" applyFill="1" applyBorder="1"/>
    <xf numFmtId="0" fontId="0" fillId="0" borderId="0" xfId="0" pivotButton="1" applyAlignment="1">
      <alignment horizontal="left" vertical="top"/>
    </xf>
    <xf numFmtId="44" fontId="2" fillId="2" borderId="3" xfId="1" applyFont="1" applyFill="1" applyBorder="1"/>
    <xf numFmtId="44" fontId="4" fillId="0" borderId="1" xfId="1" applyFont="1" applyBorder="1"/>
    <xf numFmtId="44" fontId="5" fillId="0" borderId="2" xfId="1" applyFont="1" applyBorder="1" applyAlignment="1">
      <alignment horizontal="right" vertical="top" wrapText="1" readingOrder="1"/>
    </xf>
    <xf numFmtId="44" fontId="5" fillId="0" borderId="1" xfId="1" applyFont="1" applyBorder="1" applyAlignment="1">
      <alignment horizontal="right" vertical="top" wrapText="1"/>
    </xf>
    <xf numFmtId="44" fontId="5" fillId="0" borderId="0" xfId="1" applyFont="1" applyAlignment="1">
      <alignment vertical="center"/>
    </xf>
    <xf numFmtId="44" fontId="4" fillId="0" borderId="3" xfId="1" applyFont="1" applyBorder="1"/>
    <xf numFmtId="44" fontId="0" fillId="0" borderId="0" xfId="0" applyNumberFormat="1" applyAlignment="1">
      <alignment horizontal="left" vertical="top"/>
    </xf>
    <xf numFmtId="0" fontId="8" fillId="0" borderId="0" xfId="0" applyFont="1" applyAlignment="1">
      <alignment horizontal="left" vertical="top"/>
    </xf>
    <xf numFmtId="0" fontId="0" fillId="0" borderId="0" xfId="0" applyAlignment="1">
      <alignment horizontal="right" vertical="top" indent="1"/>
    </xf>
    <xf numFmtId="44" fontId="9" fillId="0" borderId="0" xfId="0" applyNumberFormat="1" applyFont="1" applyAlignment="1">
      <alignment horizontal="left" vertical="top"/>
    </xf>
    <xf numFmtId="44" fontId="7" fillId="3" borderId="0" xfId="0" applyNumberFormat="1" applyFont="1" applyFill="1" applyAlignment="1">
      <alignment horizontal="left" vertical="top"/>
    </xf>
    <xf numFmtId="0" fontId="10" fillId="3" borderId="0" xfId="0" applyFont="1" applyFill="1" applyAlignment="1">
      <alignment horizontal="left" vertical="top"/>
    </xf>
    <xf numFmtId="44" fontId="11" fillId="0" borderId="0" xfId="0" applyNumberFormat="1" applyFont="1" applyAlignment="1">
      <alignment horizontal="left" vertical="top"/>
    </xf>
    <xf numFmtId="44" fontId="0" fillId="0" borderId="0" xfId="1" applyFont="1" applyAlignment="1">
      <alignment horizontal="left" vertical="top"/>
    </xf>
    <xf numFmtId="44" fontId="5" fillId="0" borderId="1" xfId="1" applyFont="1" applyBorder="1" applyAlignment="1">
      <alignment horizontal="right" vertical="center" wrapText="1"/>
    </xf>
    <xf numFmtId="0" fontId="12" fillId="4" borderId="0" xfId="2" applyAlignment="1">
      <alignment horizontal="left" vertical="top"/>
    </xf>
    <xf numFmtId="44" fontId="0" fillId="0" borderId="0" xfId="1" applyFont="1" applyBorder="1" applyAlignment="1">
      <alignment horizontal="left" vertical="top"/>
    </xf>
    <xf numFmtId="0" fontId="0" fillId="0" borderId="4" xfId="0" applyBorder="1" applyAlignment="1">
      <alignment horizontal="left" vertical="top"/>
    </xf>
    <xf numFmtId="44" fontId="0" fillId="0" borderId="0" xfId="1" applyFont="1" applyAlignment="1">
      <alignment horizontal="center"/>
    </xf>
    <xf numFmtId="0" fontId="13" fillId="0" borderId="5" xfId="0" applyFont="1" applyBorder="1" applyAlignment="1">
      <alignment horizontal="left" vertical="top"/>
    </xf>
    <xf numFmtId="44" fontId="13" fillId="0" borderId="5" xfId="0" applyNumberFormat="1" applyFont="1" applyBorder="1" applyAlignment="1">
      <alignment horizontal="left" vertical="top"/>
    </xf>
  </cellXfs>
  <cellStyles count="3">
    <cellStyle name="Accent3" xfId="2" builtinId="37"/>
    <cellStyle name="Currency" xfId="1" builtinId="4"/>
    <cellStyle name="Normal" xfId="0" builtinId="0"/>
  </cellStyles>
  <dxfs count="57">
    <dxf>
      <numFmt numFmtId="34" formatCode="_-&quot;₦&quot;* #,##0.00_-;\-&quot;₦&quot;* #,##0.00_-;_-&quot;₦&quot;* &quot;-&quot;??_-;_-@_-"/>
    </dxf>
    <dxf>
      <fill>
        <patternFill patternType="solid">
          <bgColor theme="6"/>
        </patternFill>
      </fill>
    </dxf>
    <dxf>
      <font>
        <color theme="1"/>
      </font>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border>
        <bottom style="thin">
          <color indexed="64"/>
        </bottom>
      </border>
    </dxf>
    <dxf>
      <border>
        <bottom style="thin">
          <color indexed="64"/>
        </bottom>
      </border>
    </dxf>
    <dxf>
      <border>
        <bottom style="thin">
          <color indexed="64"/>
        </bottom>
      </border>
    </dxf>
    <dxf>
      <font>
        <color theme="4" tint="0.39997558519241921"/>
      </font>
    </dxf>
    <dxf>
      <font>
        <color rgb="FFFF0000"/>
      </font>
    </dxf>
    <dxf>
      <numFmt numFmtId="34" formatCode="_-&quot;₦&quot;* #,##0.00_-;\-&quot;₦&quot;* #,##0.00_-;_-&quot;₦&quot;* &quot;-&quot;??_-;_-@_-"/>
    </dxf>
    <dxf>
      <numFmt numFmtId="34" formatCode="_-&quot;₦&quot;* #,##0.00_-;\-&quot;₦&quot;* #,##0.00_-;_-&quot;₦&quot;* &quot;-&quot;??_-;_-@_-"/>
    </dxf>
    <dxf>
      <font>
        <color rgb="FFC00000"/>
      </font>
    </dxf>
    <dxf>
      <fill>
        <patternFill>
          <bgColor auto="1"/>
        </patternFill>
      </fill>
    </dxf>
    <dxf>
      <fill>
        <patternFill patternType="none">
          <bgColor auto="1"/>
        </patternFill>
      </fill>
    </dxf>
    <dxf>
      <fill>
        <patternFill patternType="solid">
          <bgColor theme="6"/>
        </patternFill>
      </fill>
    </dxf>
    <dxf>
      <numFmt numFmtId="34" formatCode="_-&quot;₦&quot;* #,##0.00_-;\-&quot;₦&quot;* #,##0.00_-;_-&quot;₦&quot;* &quot;-&quot;??_-;_-@_-"/>
    </dxf>
    <dxf>
      <font>
        <sz val="28"/>
      </font>
    </dxf>
    <dxf>
      <font>
        <sz val="48"/>
      </font>
    </dxf>
    <dxf>
      <font>
        <color theme="2"/>
      </font>
    </dxf>
    <dxf>
      <fill>
        <patternFill patternType="solid">
          <bgColor theme="6"/>
        </patternFill>
      </fill>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164" formatCode="[$-10409]#,##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164" formatCode="[$-10409]#,##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164" formatCode="[$-10409]#,##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164" formatCode="[$-10409]#,##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164" formatCode="[$-10409]#,##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164" formatCode="[$-10409]#,##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164" formatCode="[$-10409]#,##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164" formatCode="[$-10409]#,##0.0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numFmt numFmtId="34" formatCode="_-&quot;₦&quot;* #,##0.00_-;\-&quot;₦&quot;* #,##0.00_-;_-&quot;₦&quot;* &quot;-&quot;??_-;_-@_-"/>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scheme val="minor"/>
      </font>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font>
        <b val="0"/>
        <i val="0"/>
        <strike val="0"/>
        <condense val="0"/>
        <extend val="0"/>
        <outline val="0"/>
        <shadow val="0"/>
        <u val="none"/>
        <vertAlign val="baseline"/>
        <sz val="14"/>
        <color theme="1"/>
        <name val="Calibri"/>
        <scheme val="minor"/>
      </font>
    </dxf>
    <dxf>
      <border outline="0">
        <bottom style="thin">
          <color indexed="64"/>
        </bottom>
      </border>
    </dxf>
    <dxf>
      <font>
        <b/>
        <i val="0"/>
        <strike val="0"/>
        <condense val="0"/>
        <extend val="0"/>
        <outline val="0"/>
        <shadow val="0"/>
        <u val="none"/>
        <vertAlign val="baseline"/>
        <sz val="14"/>
        <color theme="1"/>
        <name val="Calibri"/>
        <scheme val="minor"/>
      </font>
      <fill>
        <patternFill patternType="solid">
          <fgColor indexed="64"/>
          <bgColor theme="9" tint="0.39997558519241921"/>
        </patternFill>
      </fill>
      <border diagonalUp="0" diagonalDown="0" outline="0">
        <left style="thin">
          <color indexed="64"/>
        </left>
        <right style="thin">
          <color indexed="64"/>
        </right>
        <top/>
        <bottom/>
      </border>
    </dxf>
  </dxfs>
  <tableStyles count="0" defaultTableStyle="TableStyleMedium9" defaultPivotStyle="PivotStyleLight16"/>
  <colors>
    <mruColors>
      <color rgb="FF008000"/>
      <color rgb="FF2156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pPr>
            <a:solidFill>
              <a:sysClr val="window" lastClr="FFFFFF"/>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marker>
          <c:spPr>
            <a:solidFill>
              <a:srgbClr val="FFFF00"/>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pivotFmt>
      <c:pivotFmt>
        <c:idx val="38"/>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4.7883042041640338E-2"/>
          <c:y val="2.8440225581076763E-2"/>
          <c:w val="0.76129994972162385"/>
          <c:h val="0.44724278016608715"/>
        </c:manualLayout>
      </c:layout>
      <c:lineChart>
        <c:grouping val="standard"/>
        <c:varyColors val="0"/>
        <c:dLbls>
          <c:showLegendKey val="0"/>
          <c:showVal val="0"/>
          <c:showCatName val="0"/>
          <c:showSerName val="0"/>
          <c:showPercent val="0"/>
          <c:showBubbleSize val="0"/>
        </c:dLbls>
        <c:marker val="1"/>
        <c:smooth val="0"/>
        <c:axId val="791063824"/>
        <c:axId val="791053840"/>
      </c:lineChart>
      <c:catAx>
        <c:axId val="79106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crossAx val="791053840"/>
        <c:crosses val="autoZero"/>
        <c:auto val="1"/>
        <c:lblAlgn val="ctr"/>
        <c:lblOffset val="100"/>
        <c:noMultiLvlLbl val="0"/>
      </c:catAx>
      <c:valAx>
        <c:axId val="79105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crossAx val="79106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ln>
            <a:solidFill>
              <a:schemeClr val="tx1">
                <a:lumMod val="75000"/>
                <a:lumOff val="25000"/>
              </a:schemeClr>
            </a:solidFill>
          </a:ln>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[IGR DATA 2019-2022 (Recovered).xlsx]pivot table!PivotTable12</c:name>
    <c:fmtId val="1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tax and total Revenue  State</a:t>
            </a:r>
            <a:endParaRPr lang="en-US"/>
          </a:p>
        </c:rich>
      </c:tx>
      <c:layout>
        <c:manualLayout>
          <c:xMode val="edge"/>
          <c:yMode val="edge"/>
          <c:x val="0.84955042708906081"/>
          <c:y val="4.1835151512165603E-2"/>
        </c:manualLayout>
      </c:layout>
      <c:overlay val="0"/>
      <c:spPr>
        <a:solidFill>
          <a:schemeClr val="accent3"/>
        </a:solidFill>
        <a:ln w="25400" cap="flat" cmpd="sng" algn="ctr">
          <a:solidFill>
            <a:schemeClr val="accent3">
              <a:shade val="50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solidFill>
              <a:schemeClr val="accent6">
                <a:lumMod val="75000"/>
              </a:schemeClr>
            </a:solidFill>
          </a:ln>
          <a:effectLst/>
        </c:spPr>
      </c:pivotFmt>
      <c:pivotFmt>
        <c:idx val="2"/>
        <c:spPr>
          <a:solidFill>
            <a:schemeClr val="accent1"/>
          </a:solidFill>
          <a:ln>
            <a:noFill/>
          </a:ln>
          <a:effectLst/>
        </c:spPr>
        <c:marker>
          <c:symbol val="none"/>
        </c:marker>
      </c:pivotFmt>
      <c:pivotFmt>
        <c:idx val="3"/>
        <c:spPr>
          <a:solidFill>
            <a:srgbClr val="92D050"/>
          </a:solidFill>
          <a:ln>
            <a:noFill/>
          </a:ln>
          <a:effectLst/>
        </c:spPr>
        <c:marker>
          <c:symbol val="none"/>
        </c:marker>
      </c:pivotFmt>
      <c:pivotFmt>
        <c:idx val="4"/>
        <c:spPr>
          <a:solidFill>
            <a:schemeClr val="accent3">
              <a:lumMod val="60000"/>
              <a:lumOff val="40000"/>
            </a:schemeClr>
          </a:solidFill>
          <a:ln>
            <a:noFill/>
          </a:ln>
          <a:effectLst/>
        </c:spPr>
        <c:marker>
          <c:symbol val="none"/>
        </c:marker>
      </c:pivotFmt>
      <c:pivotFmt>
        <c:idx val="5"/>
        <c:spPr>
          <a:solidFill>
            <a:schemeClr val="accent3">
              <a:lumMod val="75000"/>
            </a:schemeClr>
          </a:solidFill>
          <a:ln>
            <a:noFill/>
          </a:ln>
          <a:effectLst/>
        </c:spPr>
        <c:marker>
          <c:symbol val="none"/>
        </c:marker>
      </c:pivotFmt>
      <c:pivotFmt>
        <c:idx val="6"/>
        <c:spPr>
          <a:solidFill>
            <a:schemeClr val="accent3">
              <a:lumMod val="60000"/>
              <a:lumOff val="40000"/>
            </a:schemeClr>
          </a:solidFill>
          <a:ln>
            <a:noFill/>
          </a:ln>
          <a:effectLst/>
        </c:spPr>
        <c:marker>
          <c:symbol val="none"/>
        </c:marker>
      </c:pivotFmt>
      <c:pivotFmt>
        <c:idx val="7"/>
        <c:spPr>
          <a:solidFill>
            <a:schemeClr val="accent3">
              <a:lumMod val="75000"/>
            </a:schemeClr>
          </a:solidFill>
          <a:ln>
            <a:noFill/>
          </a:ln>
          <a:effectLst/>
        </c:spPr>
        <c:marker>
          <c:symbol val="none"/>
        </c:marker>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024545794999553E-2"/>
          <c:y val="3.8193456526906873E-2"/>
          <c:w val="0.92716389130677668"/>
          <c:h val="0.5364506172839506"/>
        </c:manualLayout>
      </c:layout>
      <c:barChart>
        <c:barDir val="col"/>
        <c:grouping val="clustered"/>
        <c:varyColors val="0"/>
        <c:ser>
          <c:idx val="0"/>
          <c:order val="0"/>
          <c:tx>
            <c:strRef>
              <c:f>'pivot table'!$M$7</c:f>
              <c:strCache>
                <c:ptCount val="1"/>
                <c:pt idx="0">
                  <c:v> TOTAL TAX</c:v>
                </c:pt>
              </c:strCache>
            </c:strRef>
          </c:tx>
          <c:spPr>
            <a:solidFill>
              <a:schemeClr val="accent3">
                <a:lumMod val="75000"/>
              </a:schemeClr>
            </a:solidFill>
            <a:ln>
              <a:noFill/>
            </a:ln>
            <a:effectLst/>
          </c:spPr>
          <c:invertIfNegative val="0"/>
          <c:cat>
            <c:strRef>
              <c:f>'pivot table'!$L$8:$L$18</c:f>
              <c:strCache>
                <c:ptCount val="10"/>
                <c:pt idx="0">
                  <c:v>LAGOS</c:v>
                </c:pt>
                <c:pt idx="1">
                  <c:v>RIVERS</c:v>
                </c:pt>
                <c:pt idx="2">
                  <c:v>FEDERAL CAPITAL TERRITORY</c:v>
                </c:pt>
                <c:pt idx="3">
                  <c:v>DELTA</c:v>
                </c:pt>
                <c:pt idx="4">
                  <c:v>OGUN</c:v>
                </c:pt>
                <c:pt idx="5">
                  <c:v>OYO</c:v>
                </c:pt>
                <c:pt idx="6">
                  <c:v>KADUNA</c:v>
                </c:pt>
                <c:pt idx="7">
                  <c:v>EDO</c:v>
                </c:pt>
                <c:pt idx="8">
                  <c:v>KANO</c:v>
                </c:pt>
                <c:pt idx="9">
                  <c:v>ONDO</c:v>
                </c:pt>
              </c:strCache>
            </c:strRef>
          </c:cat>
          <c:val>
            <c:numRef>
              <c:f>'pivot table'!$M$8:$M$18</c:f>
              <c:numCache>
                <c:formatCode>_("₦"* #,##0.00_);_("₦"* \(#,##0.00\);_("₦"* "-"??_);_(@_)</c:formatCode>
                <c:ptCount val="10"/>
                <c:pt idx="0">
                  <c:v>524873024884.47998</c:v>
                </c:pt>
                <c:pt idx="1">
                  <c:v>153562844055.14999</c:v>
                </c:pt>
                <c:pt idx="2">
                  <c:v>124366774519.25</c:v>
                </c:pt>
                <c:pt idx="3">
                  <c:v>71495446090.549988</c:v>
                </c:pt>
                <c:pt idx="4">
                  <c:v>53312177070.880005</c:v>
                </c:pt>
                <c:pt idx="5">
                  <c:v>45321456990.729996</c:v>
                </c:pt>
                <c:pt idx="6">
                  <c:v>34517325183.779999</c:v>
                </c:pt>
                <c:pt idx="7">
                  <c:v>32968052908.219994</c:v>
                </c:pt>
                <c:pt idx="8">
                  <c:v>30187194255.580002</c:v>
                </c:pt>
                <c:pt idx="9">
                  <c:v>27673995607.350002</c:v>
                </c:pt>
              </c:numCache>
            </c:numRef>
          </c:val>
          <c:extLst>
            <c:ext xmlns:c16="http://schemas.microsoft.com/office/drawing/2014/chart" uri="{C3380CC4-5D6E-409C-BE32-E72D297353CC}">
              <c16:uniqueId val="{00000000-B0A7-42A5-A7E0-314086014D8E}"/>
            </c:ext>
          </c:extLst>
        </c:ser>
        <c:ser>
          <c:idx val="1"/>
          <c:order val="1"/>
          <c:tx>
            <c:strRef>
              <c:f>'pivot table'!$N$7</c:f>
              <c:strCache>
                <c:ptCount val="1"/>
                <c:pt idx="0">
                  <c:v> TOTAL</c:v>
                </c:pt>
              </c:strCache>
            </c:strRef>
          </c:tx>
          <c:spPr>
            <a:solidFill>
              <a:schemeClr val="accent3">
                <a:lumMod val="50000"/>
              </a:schemeClr>
            </a:solidFill>
            <a:ln>
              <a:noFill/>
            </a:ln>
            <a:effectLst/>
          </c:spPr>
          <c:invertIfNegative val="0"/>
          <c:cat>
            <c:strRef>
              <c:f>'pivot table'!$L$8:$L$18</c:f>
              <c:strCache>
                <c:ptCount val="10"/>
                <c:pt idx="0">
                  <c:v>LAGOS</c:v>
                </c:pt>
                <c:pt idx="1">
                  <c:v>RIVERS</c:v>
                </c:pt>
                <c:pt idx="2">
                  <c:v>FEDERAL CAPITAL TERRITORY</c:v>
                </c:pt>
                <c:pt idx="3">
                  <c:v>DELTA</c:v>
                </c:pt>
                <c:pt idx="4">
                  <c:v>OGUN</c:v>
                </c:pt>
                <c:pt idx="5">
                  <c:v>OYO</c:v>
                </c:pt>
                <c:pt idx="6">
                  <c:v>KADUNA</c:v>
                </c:pt>
                <c:pt idx="7">
                  <c:v>EDO</c:v>
                </c:pt>
                <c:pt idx="8">
                  <c:v>KANO</c:v>
                </c:pt>
                <c:pt idx="9">
                  <c:v>ONDO</c:v>
                </c:pt>
              </c:strCache>
            </c:strRef>
          </c:cat>
          <c:val>
            <c:numRef>
              <c:f>'pivot table'!$N$8:$N$18</c:f>
              <c:numCache>
                <c:formatCode>_("₦"* #,##0.00_);_("₦"* \(#,##0.00\);_("₦"* "-"??_);_(@_)</c:formatCode>
                <c:ptCount val="10"/>
                <c:pt idx="0">
                  <c:v>651145633085.30005</c:v>
                </c:pt>
                <c:pt idx="1">
                  <c:v>172823232535.44</c:v>
                </c:pt>
                <c:pt idx="2">
                  <c:v>124366774519.25</c:v>
                </c:pt>
                <c:pt idx="3">
                  <c:v>85901607747.299988</c:v>
                </c:pt>
                <c:pt idx="4">
                  <c:v>120584157140.78</c:v>
                </c:pt>
                <c:pt idx="5">
                  <c:v>62246150460.359993</c:v>
                </c:pt>
                <c:pt idx="6">
                  <c:v>58094591085.910004</c:v>
                </c:pt>
                <c:pt idx="7">
                  <c:v>47458128071.159996</c:v>
                </c:pt>
                <c:pt idx="8">
                  <c:v>42509911699.940002</c:v>
                </c:pt>
                <c:pt idx="9">
                  <c:v>32640660900.25</c:v>
                </c:pt>
              </c:numCache>
            </c:numRef>
          </c:val>
          <c:extLst>
            <c:ext xmlns:c16="http://schemas.microsoft.com/office/drawing/2014/chart" uri="{C3380CC4-5D6E-409C-BE32-E72D297353CC}">
              <c16:uniqueId val="{00000001-B0A7-42A5-A7E0-314086014D8E}"/>
            </c:ext>
          </c:extLst>
        </c:ser>
        <c:dLbls>
          <c:showLegendKey val="0"/>
          <c:showVal val="0"/>
          <c:showCatName val="0"/>
          <c:showSerName val="0"/>
          <c:showPercent val="0"/>
          <c:showBubbleSize val="0"/>
        </c:dLbls>
        <c:gapWidth val="219"/>
        <c:overlap val="-27"/>
        <c:axId val="737660560"/>
        <c:axId val="737653488"/>
      </c:barChart>
      <c:catAx>
        <c:axId val="73766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737653488"/>
        <c:crossesAt val="0"/>
        <c:auto val="1"/>
        <c:lblAlgn val="ctr"/>
        <c:lblOffset val="100"/>
        <c:noMultiLvlLbl val="0"/>
      </c:catAx>
      <c:valAx>
        <c:axId val="737653488"/>
        <c:scaling>
          <c:orientation val="minMax"/>
          <c:min val="1000000"/>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737660560"/>
        <c:crosses val="autoZero"/>
        <c:crossBetween val="between"/>
        <c:dispUnits>
          <c:builtInUnit val="hundredMillions"/>
        </c:dispUnits>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solidFill>
                <a:effectLst>
                  <a:innerShdw dist="50800" dir="13500000">
                    <a:prstClr val="black">
                      <a:alpha val="50000"/>
                    </a:prstClr>
                  </a:innerShdw>
                </a:effectLst>
                <a:latin typeface="+mn-lt"/>
                <a:ea typeface="+mn-ea"/>
                <a:cs typeface="+mn-cs"/>
              </a:defRPr>
            </a:pPr>
            <a:endParaRPr lang="en-US"/>
          </a:p>
        </c:txPr>
      </c:dTable>
      <c:spPr>
        <a:noFill/>
        <a:ln w="25400">
          <a:noFill/>
        </a:ln>
        <a:effectLst/>
      </c:spPr>
    </c:plotArea>
    <c:plotVisOnly val="1"/>
    <c:dispBlanksAs val="gap"/>
    <c:showDLblsOverMax val="0"/>
  </c:chart>
  <c:spPr>
    <a:noFill/>
    <a:ln w="9525" cap="flat" cmpd="sng" algn="ctr">
      <a:solidFill>
        <a:schemeClr val="tx1">
          <a:lumMod val="15000"/>
          <a:lumOff val="85000"/>
        </a:schemeClr>
      </a:solid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[IGR DATA 2019-2022 (Recovered).xlsx]pivot table!PivotTable11</c:name>
    <c:fmtId val="2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 TOP</a:t>
            </a:r>
            <a:r>
              <a:rPr lang="en-US" baseline="0">
                <a:solidFill>
                  <a:schemeClr val="lt1"/>
                </a:solidFill>
                <a:latin typeface="+mn-lt"/>
                <a:ea typeface="+mn-ea"/>
                <a:cs typeface="+mn-cs"/>
              </a:rPr>
              <a:t> 10 </a:t>
            </a:r>
            <a:r>
              <a:rPr lang="en-US">
                <a:solidFill>
                  <a:schemeClr val="lt1"/>
                </a:solidFill>
                <a:latin typeface="+mn-lt"/>
                <a:ea typeface="+mn-ea"/>
                <a:cs typeface="+mn-cs"/>
              </a:rPr>
              <a:t>LGA</a:t>
            </a:r>
            <a:r>
              <a:rPr lang="en-US" baseline="0">
                <a:solidFill>
                  <a:schemeClr val="lt1"/>
                </a:solidFill>
                <a:latin typeface="+mn-lt"/>
                <a:ea typeface="+mn-ea"/>
                <a:cs typeface="+mn-cs"/>
              </a:rPr>
              <a:t> REVENUE GENERATORS</a:t>
            </a:r>
            <a:endParaRPr lang="en-US"/>
          </a:p>
        </c:rich>
      </c:tx>
      <c:layout>
        <c:manualLayout>
          <c:xMode val="edge"/>
          <c:yMode val="edge"/>
          <c:x val="0.68755383089075583"/>
          <c:y val="4.3344060253337903E-2"/>
        </c:manualLayout>
      </c:layout>
      <c:overlay val="0"/>
      <c:spPr>
        <a:solidFill>
          <a:schemeClr val="accent3"/>
        </a:solidFill>
        <a:ln w="25400" cap="flat" cmpd="sng" algn="ctr">
          <a:solidFill>
            <a:schemeClr val="accent3">
              <a:shade val="50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pivotFmt>
      <c:pivotFmt>
        <c:idx val="1"/>
        <c:spPr>
          <a:solidFill>
            <a:schemeClr val="accent3">
              <a:lumMod val="75000"/>
            </a:schemeClr>
          </a:solidFill>
          <a:ln>
            <a:noFill/>
          </a:ln>
          <a:effectLst/>
        </c:spPr>
      </c:pivotFmt>
      <c:pivotFmt>
        <c:idx val="2"/>
        <c:spPr>
          <a:solidFill>
            <a:schemeClr val="accent3">
              <a:lumMod val="75000"/>
            </a:schemeClr>
          </a:solidFill>
          <a:ln>
            <a:noFill/>
          </a:ln>
          <a:effectLst/>
        </c:spPr>
        <c:marker>
          <c:symbol val="none"/>
        </c:marker>
      </c:pivotFmt>
      <c:pivotFmt>
        <c:idx val="3"/>
        <c:spPr>
          <a:solidFill>
            <a:schemeClr val="accent3">
              <a:lumMod val="75000"/>
            </a:schemeClr>
          </a:solidFill>
          <a:ln>
            <a:noFill/>
          </a:ln>
          <a:effectLst/>
        </c:spPr>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pivotFmt>
    </c:pivotFmts>
    <c:plotArea>
      <c:layout>
        <c:manualLayout>
          <c:layoutTarget val="inner"/>
          <c:xMode val="edge"/>
          <c:yMode val="edge"/>
          <c:x val="8.5527132074997805E-2"/>
          <c:y val="1.5071893187264635E-2"/>
          <c:w val="0.77821041119860013"/>
          <c:h val="0.87013378536016328"/>
        </c:manualLayout>
      </c:layout>
      <c:barChart>
        <c:barDir val="bar"/>
        <c:grouping val="clustered"/>
        <c:varyColors val="0"/>
        <c:ser>
          <c:idx val="0"/>
          <c:order val="0"/>
          <c:tx>
            <c:strRef>
              <c:f>'pivot table'!$B$1</c:f>
              <c:strCache>
                <c:ptCount val="1"/>
                <c:pt idx="0">
                  <c:v>Total</c:v>
                </c:pt>
              </c:strCache>
            </c:strRef>
          </c:tx>
          <c:spPr>
            <a:solidFill>
              <a:schemeClr val="accent3">
                <a:lumMod val="75000"/>
              </a:schemeClr>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8ED9-4D32-B503-435B03FF55B5}"/>
              </c:ext>
            </c:extLst>
          </c:dPt>
          <c:dPt>
            <c:idx val="8"/>
            <c:invertIfNegative val="0"/>
            <c:bubble3D val="0"/>
            <c:extLst>
              <c:ext xmlns:c16="http://schemas.microsoft.com/office/drawing/2014/chart" uri="{C3380CC4-5D6E-409C-BE32-E72D297353CC}">
                <c16:uniqueId val="{00000001-0873-40E5-9A3C-9F27963DACAC}"/>
              </c:ext>
            </c:extLst>
          </c:dPt>
          <c:dPt>
            <c:idx val="30"/>
            <c:invertIfNegative val="0"/>
            <c:bubble3D val="0"/>
            <c:extLst>
              <c:ext xmlns:c16="http://schemas.microsoft.com/office/drawing/2014/chart" uri="{C3380CC4-5D6E-409C-BE32-E72D297353CC}">
                <c16:uniqueId val="{00000001-2F69-467A-A712-9014D54675B1}"/>
              </c:ext>
            </c:extLst>
          </c:dPt>
          <c:cat>
            <c:strRef>
              <c:f>'pivot table'!$A$2:$A$12</c:f>
              <c:strCache>
                <c:ptCount val="10"/>
                <c:pt idx="0">
                  <c:v>OYO</c:v>
                </c:pt>
                <c:pt idx="1">
                  <c:v>LAGOS</c:v>
                </c:pt>
                <c:pt idx="2">
                  <c:v>JIGAWA</c:v>
                </c:pt>
                <c:pt idx="3">
                  <c:v>RIVERS</c:v>
                </c:pt>
                <c:pt idx="4">
                  <c:v>EDO</c:v>
                </c:pt>
                <c:pt idx="5">
                  <c:v>DELTA</c:v>
                </c:pt>
                <c:pt idx="6">
                  <c:v>OGUN</c:v>
                </c:pt>
                <c:pt idx="7">
                  <c:v>ENUGU</c:v>
                </c:pt>
                <c:pt idx="8">
                  <c:v>NASSARAWA</c:v>
                </c:pt>
                <c:pt idx="9">
                  <c:v>KANO</c:v>
                </c:pt>
              </c:strCache>
            </c:strRef>
          </c:cat>
          <c:val>
            <c:numRef>
              <c:f>'pivot table'!$B$2:$B$12</c:f>
              <c:numCache>
                <c:formatCode>General</c:formatCode>
                <c:ptCount val="10"/>
                <c:pt idx="0">
                  <c:v>11832437020.33</c:v>
                </c:pt>
                <c:pt idx="1">
                  <c:v>11505586283.35</c:v>
                </c:pt>
                <c:pt idx="2">
                  <c:v>8700993591.7800007</c:v>
                </c:pt>
                <c:pt idx="3">
                  <c:v>2476070775.6500001</c:v>
                </c:pt>
                <c:pt idx="4">
                  <c:v>2395540633.0300002</c:v>
                </c:pt>
                <c:pt idx="5">
                  <c:v>1860931470.7</c:v>
                </c:pt>
                <c:pt idx="6">
                  <c:v>1340006681.1099999</c:v>
                </c:pt>
                <c:pt idx="7">
                  <c:v>1076091249.79</c:v>
                </c:pt>
                <c:pt idx="8">
                  <c:v>843566085</c:v>
                </c:pt>
                <c:pt idx="9">
                  <c:v>820759757.39999998</c:v>
                </c:pt>
              </c:numCache>
            </c:numRef>
          </c:val>
          <c:extLst>
            <c:ext xmlns:c16="http://schemas.microsoft.com/office/drawing/2014/chart" uri="{C3380CC4-5D6E-409C-BE32-E72D297353CC}">
              <c16:uniqueId val="{00000002-2F69-467A-A712-9014D54675B1}"/>
            </c:ext>
          </c:extLst>
        </c:ser>
        <c:dLbls>
          <c:showLegendKey val="0"/>
          <c:showVal val="0"/>
          <c:showCatName val="0"/>
          <c:showSerName val="0"/>
          <c:showPercent val="0"/>
          <c:showBubbleSize val="0"/>
        </c:dLbls>
        <c:gapWidth val="182"/>
        <c:axId val="621749424"/>
        <c:axId val="621748176"/>
      </c:barChart>
      <c:catAx>
        <c:axId val="62174942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300" b="1" i="1" u="none" strike="noStrike" kern="1200" baseline="0">
                <a:solidFill>
                  <a:schemeClr val="tx1">
                    <a:lumMod val="65000"/>
                    <a:lumOff val="35000"/>
                  </a:schemeClr>
                </a:solidFill>
                <a:latin typeface="+mn-lt"/>
                <a:ea typeface="+mn-ea"/>
                <a:cs typeface="+mn-cs"/>
              </a:defRPr>
            </a:pPr>
            <a:endParaRPr lang="en-US"/>
          </a:p>
        </c:txPr>
        <c:crossAx val="621748176"/>
        <c:crosses val="autoZero"/>
        <c:auto val="1"/>
        <c:lblAlgn val="ctr"/>
        <c:lblOffset val="100"/>
        <c:noMultiLvlLbl val="0"/>
      </c:catAx>
      <c:valAx>
        <c:axId val="621748176"/>
        <c:scaling>
          <c:orientation val="minMax"/>
          <c:min val="100000"/>
        </c:scaling>
        <c:delete val="0"/>
        <c:axPos val="b"/>
        <c:numFmt formatCode="General" sourceLinked="1"/>
        <c:majorTickMark val="none"/>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621749424"/>
        <c:crosses val="autoZero"/>
        <c:crossBetween val="between"/>
        <c:dispUnits>
          <c:builtInUnit val="millions"/>
        </c:dispUnits>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[IGR DATA 2019-2022 (Recovered).xlsx]pivot table!PivotTable13</c:name>
    <c:fmtId val="17"/>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a:solidFill>
                  <a:schemeClr val="lt1"/>
                </a:solidFill>
                <a:latin typeface="+mn-lt"/>
                <a:ea typeface="+mn-ea"/>
                <a:cs typeface="+mn-cs"/>
              </a:rPr>
              <a:t>TOP 3 TOTAL REVENUE</a:t>
            </a:r>
            <a:endParaRPr lang="en-US"/>
          </a:p>
        </c:rich>
      </c:tx>
      <c:layout>
        <c:manualLayout>
          <c:xMode val="edge"/>
          <c:yMode val="edge"/>
          <c:x val="0.66440532266020669"/>
          <c:y val="3.7620687723631765E-2"/>
        </c:manualLayout>
      </c:layout>
      <c:overlay val="0"/>
      <c:spPr>
        <a:solidFill>
          <a:schemeClr val="accent3"/>
        </a:solidFill>
        <a:ln w="25400" cap="flat" cmpd="sng" algn="ctr">
          <a:solidFill>
            <a:schemeClr val="accent3">
              <a:shade val="15000"/>
            </a:schemeClr>
          </a:solidFill>
          <a:prstDash val="solid"/>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3"/>
          </a:solidFill>
          <a:ln>
            <a:noFill/>
          </a:ln>
          <a:effectLst>
            <a:outerShdw blurRad="254000" sx="102000" sy="102000" algn="ctr" rotWithShape="0">
              <a:prstClr val="black">
                <a:alpha val="20000"/>
              </a:prstClr>
            </a:outerShdw>
          </a:effectLst>
        </c:spPr>
        <c:marker>
          <c:spPr>
            <a:solidFill>
              <a:schemeClr val="accent3">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3">
              <a:shade val="53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3">
              <a:shade val="53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3">
              <a:shade val="76000"/>
            </a:schemeClr>
          </a:solidFill>
          <a:ln>
            <a:noFill/>
          </a:ln>
          <a:effectLst>
            <a:outerShdw blurRad="254000" sx="102000" sy="102000" algn="ctr" rotWithShape="0">
              <a:prstClr val="black">
                <a:alpha val="20000"/>
              </a:prstClr>
            </a:outerShdw>
          </a:effectLst>
        </c:spPr>
      </c:pivotFmt>
      <c:pivotFmt>
        <c:idx val="29"/>
        <c:spPr>
          <a:solidFill>
            <a:schemeClr val="accent3"/>
          </a:solidFill>
          <a:ln>
            <a:noFill/>
          </a:ln>
          <a:effectLst>
            <a:outerShdw blurRad="254000" sx="102000" sy="102000" algn="ctr" rotWithShape="0">
              <a:prstClr val="black">
                <a:alpha val="20000"/>
              </a:prstClr>
            </a:outerShdw>
          </a:effectLst>
        </c:spPr>
      </c:pivotFmt>
      <c:pivotFmt>
        <c:idx val="30"/>
        <c:spPr>
          <a:solidFill>
            <a:schemeClr val="accent3">
              <a:tint val="77000"/>
            </a:schemeClr>
          </a:solidFill>
          <a:ln>
            <a:noFill/>
          </a:ln>
          <a:effectLst>
            <a:outerShdw blurRad="254000" sx="102000" sy="102000" algn="ctr" rotWithShape="0">
              <a:prstClr val="black">
                <a:alpha val="20000"/>
              </a:prstClr>
            </a:outerShdw>
          </a:effectLst>
        </c:spPr>
      </c:pivotFmt>
      <c:pivotFmt>
        <c:idx val="31"/>
        <c:spPr>
          <a:solidFill>
            <a:schemeClr val="accent3">
              <a:tint val="54000"/>
            </a:schemeClr>
          </a:solidFill>
          <a:ln>
            <a:noFill/>
          </a:ln>
          <a:effectLst>
            <a:outerShdw blurRad="254000" sx="102000" sy="102000" algn="ctr" rotWithShape="0">
              <a:prstClr val="black">
                <a:alpha val="20000"/>
              </a:prstClr>
            </a:outerShdw>
          </a:effectLst>
        </c:spPr>
      </c:pivotFmt>
      <c:pivotFmt>
        <c:idx val="32"/>
        <c:spPr>
          <a:solidFill>
            <a:schemeClr val="accent3"/>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3">
              <a:shade val="53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3">
              <a:lumMod val="60000"/>
              <a:lumOff val="40000"/>
            </a:schemeClr>
          </a:solidFill>
          <a:ln>
            <a:noFill/>
          </a:ln>
          <a:effectLst>
            <a:outerShdw blurRad="254000" sx="102000" sy="102000" algn="ctr" rotWithShape="0">
              <a:prstClr val="black">
                <a:alpha val="20000"/>
              </a:prstClr>
            </a:outerShdw>
          </a:effectLst>
        </c:spPr>
      </c:pivotFmt>
      <c:pivotFmt>
        <c:idx val="35"/>
        <c:spPr>
          <a:solidFill>
            <a:schemeClr val="accent3">
              <a:lumMod val="50000"/>
            </a:schemeClr>
          </a:solidFill>
          <a:ln>
            <a:noFill/>
          </a:ln>
          <a:effectLst>
            <a:outerShdw blurRad="254000" sx="102000" sy="102000" algn="ctr" rotWithShape="0">
              <a:prstClr val="black">
                <a:alpha val="20000"/>
              </a:prstClr>
            </a:outerShdw>
          </a:effectLst>
        </c:spPr>
      </c:pivotFmt>
      <c:pivotFmt>
        <c:idx val="36"/>
        <c:spPr>
          <a:solidFill>
            <a:schemeClr val="accent3">
              <a:tint val="77000"/>
            </a:schemeClr>
          </a:solidFill>
          <a:ln>
            <a:noFill/>
          </a:ln>
          <a:effectLst>
            <a:outerShdw blurRad="254000" sx="102000" sy="102000" algn="ctr" rotWithShape="0">
              <a:prstClr val="black">
                <a:alpha val="20000"/>
              </a:prstClr>
            </a:outerShdw>
          </a:effectLst>
        </c:spPr>
      </c:pivotFmt>
      <c:pivotFmt>
        <c:idx val="37"/>
        <c:spPr>
          <a:solidFill>
            <a:schemeClr val="accent3">
              <a:lumMod val="7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7149830756937225E-2"/>
          <c:y val="4.6302962903254453E-2"/>
          <c:w val="0.39618656896275539"/>
          <c:h val="0.95369703709674558"/>
        </c:manualLayout>
      </c:layout>
      <c:pieChart>
        <c:varyColors val="1"/>
        <c:ser>
          <c:idx val="0"/>
          <c:order val="0"/>
          <c:tx>
            <c:strRef>
              <c:f>'pivot table'!$Q$19</c:f>
              <c:strCache>
                <c:ptCount val="1"/>
                <c:pt idx="0">
                  <c:v>Total</c:v>
                </c:pt>
              </c:strCache>
            </c:strRef>
          </c:tx>
          <c:dPt>
            <c:idx val="0"/>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FC-4333-8CD3-819359246F6E}"/>
              </c:ext>
            </c:extLst>
          </c:dPt>
          <c:dPt>
            <c:idx val="1"/>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FC-4333-8CD3-819359246F6E}"/>
              </c:ext>
            </c:extLst>
          </c:dPt>
          <c:dPt>
            <c:idx val="2"/>
            <c:bubble3D val="0"/>
            <c:spPr>
              <a:solidFill>
                <a:schemeClr val="accent3">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FC-4333-8CD3-819359246F6E}"/>
              </c:ext>
            </c:extLst>
          </c:dPt>
          <c:dPt>
            <c:idx val="3"/>
            <c:bubble3D val="0"/>
            <c:spPr>
              <a:solidFill>
                <a:schemeClr val="accent3">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6FC-4333-8CD3-819359246F6E}"/>
              </c:ext>
            </c:extLst>
          </c:dPt>
          <c:dPt>
            <c:idx val="4"/>
            <c:bubble3D val="0"/>
            <c:spPr>
              <a:solidFill>
                <a:schemeClr val="accent3">
                  <a:tint val="9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6FC-4333-8CD3-819359246F6E}"/>
              </c:ext>
            </c:extLst>
          </c:dPt>
          <c:dPt>
            <c:idx val="5"/>
            <c:bubble3D val="0"/>
            <c:spPr>
              <a:solidFill>
                <a:schemeClr val="accent3">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6FC-4333-8CD3-819359246F6E}"/>
              </c:ext>
            </c:extLst>
          </c:dPt>
          <c:dPt>
            <c:idx val="6"/>
            <c:bubble3D val="0"/>
            <c:spPr>
              <a:solidFill>
                <a:schemeClr val="accent3">
                  <a:tint val="2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6FC-4333-8CD3-819359246F6E}"/>
              </c:ext>
            </c:extLst>
          </c:dPt>
          <c:dPt>
            <c:idx val="7"/>
            <c:bubble3D val="0"/>
            <c:spPr>
              <a:solidFill>
                <a:schemeClr val="accent3">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6FC-4333-8CD3-819359246F6E}"/>
              </c:ext>
            </c:extLst>
          </c:dPt>
          <c:dPt>
            <c:idx val="8"/>
            <c:bubble3D val="0"/>
            <c:spPr>
              <a:solidFill>
                <a:schemeClr val="accent3">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6FC-4333-8CD3-819359246F6E}"/>
              </c:ext>
            </c:extLst>
          </c:dPt>
          <c:dPt>
            <c:idx val="9"/>
            <c:bubble3D val="0"/>
            <c:spPr>
              <a:solidFill>
                <a:schemeClr val="accent3">
                  <a:tint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6FC-4333-8CD3-819359246F6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table'!$P$20:$P$23</c:f>
              <c:strCache>
                <c:ptCount val="3"/>
                <c:pt idx="0">
                  <c:v>FEDERAL CAPITAL TERRITORY</c:v>
                </c:pt>
                <c:pt idx="1">
                  <c:v>LAGOS</c:v>
                </c:pt>
                <c:pt idx="2">
                  <c:v>RIVERS</c:v>
                </c:pt>
              </c:strCache>
            </c:strRef>
          </c:cat>
          <c:val>
            <c:numRef>
              <c:f>'pivot table'!$Q$20:$Q$23</c:f>
              <c:numCache>
                <c:formatCode>General</c:formatCode>
                <c:ptCount val="3"/>
                <c:pt idx="0">
                  <c:v>124366774519.25</c:v>
                </c:pt>
                <c:pt idx="1">
                  <c:v>651145633085.30005</c:v>
                </c:pt>
                <c:pt idx="2">
                  <c:v>172823232535.44</c:v>
                </c:pt>
              </c:numCache>
            </c:numRef>
          </c:val>
          <c:extLst>
            <c:ext xmlns:c16="http://schemas.microsoft.com/office/drawing/2014/chart" uri="{C3380CC4-5D6E-409C-BE32-E72D297353CC}">
              <c16:uniqueId val="{00000014-B6FC-4333-8CD3-819359246F6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9265149761594313"/>
          <c:y val="0.20141667655965939"/>
          <c:w val="0.25719274735807385"/>
          <c:h val="0.651963185430597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[IGR DATA 2019-2022 (Recovered).xlsx]pivot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TYPES</a:t>
            </a:r>
            <a:r>
              <a:rPr lang="en-US" baseline="0">
                <a:solidFill>
                  <a:schemeClr val="lt1"/>
                </a:solidFill>
                <a:latin typeface="+mn-lt"/>
                <a:ea typeface="+mn-ea"/>
                <a:cs typeface="+mn-cs"/>
              </a:rPr>
              <a:t> OF REVENUE GENERATED</a:t>
            </a:r>
            <a:endParaRPr lang="en-US"/>
          </a:p>
        </c:rich>
      </c:tx>
      <c:layout>
        <c:manualLayout>
          <c:xMode val="edge"/>
          <c:yMode val="edge"/>
          <c:x val="3.4372020244306835E-2"/>
          <c:y val="2.6515153096823736E-2"/>
        </c:manualLayout>
      </c:layout>
      <c:overlay val="0"/>
      <c:spPr>
        <a:solidFill>
          <a:schemeClr val="accent3"/>
        </a:solidFill>
        <a:ln w="25400" cap="flat" cmpd="sng" algn="ctr">
          <a:solidFill>
            <a:schemeClr val="accent3">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pivotFmt>
      <c:pivotFmt>
        <c:idx val="1"/>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2700000" scaled="1"/>
            <a:tileRect/>
          </a:gradFill>
          <a:ln>
            <a:noFill/>
          </a:ln>
          <a:effectLst/>
        </c:spPr>
        <c:marker>
          <c:symbol val="none"/>
        </c:marker>
      </c:pivotFmt>
      <c:pivotFmt>
        <c:idx val="2"/>
        <c:spPr>
          <a:solidFill>
            <a:schemeClr val="accent3">
              <a:lumMod val="60000"/>
              <a:lumOff val="40000"/>
            </a:schemeClr>
          </a:solidFill>
          <a:ln>
            <a:noFill/>
          </a:ln>
          <a:effectLst/>
        </c:spPr>
        <c:marker>
          <c:symbol val="none"/>
        </c:marker>
      </c:pivotFmt>
      <c:pivotFmt>
        <c:idx val="3"/>
        <c:spPr>
          <a:solidFill>
            <a:schemeClr val="tx2">
              <a:lumMod val="40000"/>
              <a:lumOff val="60000"/>
            </a:schemeClr>
          </a:solidFill>
          <a:ln>
            <a:noFill/>
          </a:ln>
          <a:effectLst/>
        </c:spPr>
        <c:marker>
          <c:symbol val="none"/>
        </c:marker>
      </c:pivotFmt>
      <c:pivotFmt>
        <c:idx val="4"/>
        <c:spPr>
          <a:gradFill flip="none" rotWithShape="1">
            <a:gsLst>
              <a:gs pos="0">
                <a:schemeClr val="accent2">
                  <a:lumMod val="75000"/>
                  <a:tint val="66000"/>
                  <a:satMod val="160000"/>
                </a:schemeClr>
              </a:gs>
              <a:gs pos="50000">
                <a:schemeClr val="accent2">
                  <a:lumMod val="75000"/>
                  <a:tint val="44500"/>
                  <a:satMod val="160000"/>
                </a:schemeClr>
              </a:gs>
              <a:gs pos="100000">
                <a:schemeClr val="accent2">
                  <a:lumMod val="75000"/>
                  <a:tint val="23500"/>
                  <a:satMod val="160000"/>
                </a:schemeClr>
              </a:gs>
            </a:gsLst>
            <a:path path="circle">
              <a:fillToRect r="100000" b="100000"/>
            </a:path>
            <a:tileRect l="-100000" t="-100000"/>
          </a:gra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gradFill flip="none" rotWithShape="1">
            <a:gsLst>
              <a:gs pos="0">
                <a:schemeClr val="accent2">
                  <a:lumMod val="75000"/>
                  <a:tint val="66000"/>
                  <a:satMod val="160000"/>
                </a:schemeClr>
              </a:gs>
              <a:gs pos="50000">
                <a:schemeClr val="accent2">
                  <a:lumMod val="75000"/>
                  <a:tint val="44500"/>
                  <a:satMod val="160000"/>
                </a:schemeClr>
              </a:gs>
              <a:gs pos="100000">
                <a:schemeClr val="accent2">
                  <a:lumMod val="75000"/>
                  <a:tint val="23500"/>
                  <a:satMod val="160000"/>
                </a:schemeClr>
              </a:gs>
            </a:gsLst>
            <a:path path="circle">
              <a:fillToRect r="100000" b="100000"/>
            </a:path>
            <a:tileRect l="-100000" t="-100000"/>
          </a:gradFill>
          <a:ln>
            <a:noFill/>
          </a:ln>
          <a:effectLst/>
        </c:spPr>
        <c:marker>
          <c:symbol val="none"/>
        </c:marker>
      </c:pivotFmt>
      <c:pivotFmt>
        <c:idx val="11"/>
        <c:spPr>
          <a:solidFill>
            <a:schemeClr val="tx2">
              <a:lumMod val="40000"/>
              <a:lumOff val="60000"/>
            </a:schemeClr>
          </a:solidFill>
          <a:ln>
            <a:noFill/>
          </a:ln>
          <a:effectLst/>
        </c:spPr>
        <c:marker>
          <c:symbol val="none"/>
        </c:marker>
      </c:pivotFmt>
      <c:pivotFmt>
        <c:idx val="12"/>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2700000" scaled="1"/>
            <a:tileRect/>
          </a:gradFill>
          <a:ln>
            <a:noFill/>
          </a:ln>
          <a:effectLst/>
        </c:spPr>
        <c:marker>
          <c:symbol val="none"/>
        </c:marker>
      </c:pivotFmt>
      <c:pivotFmt>
        <c:idx val="13"/>
        <c:spPr>
          <a:solidFill>
            <a:schemeClr val="accent1"/>
          </a:solidFill>
          <a:ln>
            <a:noFill/>
          </a:ln>
          <a:effectLst/>
        </c:spPr>
        <c:marker>
          <c:symbol val="none"/>
        </c:marker>
      </c:pivotFmt>
      <c:pivotFmt>
        <c:idx val="14"/>
        <c:spPr>
          <a:solidFill>
            <a:srgbClr val="92D050"/>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3">
              <a:lumMod val="60000"/>
              <a:lumOff val="40000"/>
            </a:schemeClr>
          </a:solidFill>
          <a:ln>
            <a:noFill/>
          </a:ln>
          <a:effectLst/>
        </c:spPr>
        <c:marker>
          <c:symbol val="none"/>
        </c:marker>
      </c:pivotFmt>
      <c:pivotFmt>
        <c:idx val="17"/>
        <c:spPr>
          <a:solidFill>
            <a:schemeClr val="accent1"/>
          </a:solidFill>
          <a:ln>
            <a:noFill/>
          </a:ln>
          <a:effectLst/>
        </c:spPr>
        <c:marker>
          <c:symbol val="none"/>
        </c:marker>
      </c:pivotFmt>
      <c:pivotFmt>
        <c:idx val="1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flip="none" rotWithShape="1">
            <a:gsLst>
              <a:gs pos="23000">
                <a:schemeClr val="accent3">
                  <a:lumMod val="89000"/>
                </a:schemeClr>
              </a:gs>
              <a:gs pos="37000">
                <a:schemeClr val="accent3">
                  <a:lumMod val="75000"/>
                </a:schemeClr>
              </a:gs>
              <a:gs pos="97000">
                <a:schemeClr val="accent3">
                  <a:lumMod val="70000"/>
                </a:schemeClr>
              </a:gs>
            </a:gsLst>
            <a:path path="shap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flip="none" rotWithShape="1">
            <a:gsLst>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lumMod val="60000"/>
              <a:lumOff val="40000"/>
            </a:schemeClr>
          </a:solidFill>
          <a:ln>
            <a:noFill/>
          </a:ln>
          <a:effectLst/>
        </c:spPr>
      </c:pivotFmt>
      <c:pivotFmt>
        <c:idx val="28"/>
        <c:spPr>
          <a:solidFill>
            <a:srgbClr val="FF0000">
              <a:alpha val="50000"/>
            </a:srgbClr>
          </a:solidFill>
          <a:ln>
            <a:noFill/>
          </a:ln>
          <a:effectLst/>
        </c:spPr>
      </c:pivotFmt>
    </c:pivotFmts>
    <c:plotArea>
      <c:layout>
        <c:manualLayout>
          <c:layoutTarget val="inner"/>
          <c:xMode val="edge"/>
          <c:yMode val="edge"/>
          <c:x val="9.2475851346607157E-2"/>
          <c:y val="0.21591030459942429"/>
          <c:w val="0.70569547118712073"/>
          <c:h val="0.69940897082686193"/>
        </c:manualLayout>
      </c:layout>
      <c:barChart>
        <c:barDir val="col"/>
        <c:grouping val="clustered"/>
        <c:varyColors val="0"/>
        <c:ser>
          <c:idx val="0"/>
          <c:order val="0"/>
          <c:tx>
            <c:strRef>
              <c:f>'pivot table'!$Y$20</c:f>
              <c:strCache>
                <c:ptCount val="1"/>
                <c:pt idx="0">
                  <c:v> WITHHOLDING TAX</c:v>
                </c:pt>
              </c:strCache>
            </c:strRef>
          </c:tx>
          <c:spPr>
            <a:solidFill>
              <a:srgbClr val="92D050"/>
            </a:solidFill>
            <a:ln>
              <a:noFill/>
            </a:ln>
            <a:effectLst/>
          </c:spPr>
          <c:invertIfNegative val="0"/>
          <c:cat>
            <c:strRef>
              <c:f>'pivot table'!$Y$21</c:f>
              <c:strCache>
                <c:ptCount val="1"/>
                <c:pt idx="0">
                  <c:v>Total</c:v>
                </c:pt>
              </c:strCache>
            </c:strRef>
          </c:cat>
          <c:val>
            <c:numRef>
              <c:f>'pivot table'!$Y$21</c:f>
              <c:numCache>
                <c:formatCode>General</c:formatCode>
                <c:ptCount val="1"/>
                <c:pt idx="0">
                  <c:v>139906092599.43002</c:v>
                </c:pt>
              </c:numCache>
            </c:numRef>
          </c:val>
          <c:extLst>
            <c:ext xmlns:c16="http://schemas.microsoft.com/office/drawing/2014/chart" uri="{C3380CC4-5D6E-409C-BE32-E72D297353CC}">
              <c16:uniqueId val="{00000000-28B9-47EE-9FC7-31B9504A231F}"/>
            </c:ext>
          </c:extLst>
        </c:ser>
        <c:ser>
          <c:idx val="1"/>
          <c:order val="1"/>
          <c:tx>
            <c:strRef>
              <c:f>'pivot table'!$Z$20</c:f>
              <c:strCache>
                <c:ptCount val="1"/>
                <c:pt idx="0">
                  <c:v> STAMP DUTIES</c:v>
                </c:pt>
              </c:strCache>
            </c:strRef>
          </c:tx>
          <c:spPr>
            <a:solidFill>
              <a:srgbClr val="FF0000">
                <a:alpha val="50000"/>
              </a:srgbClr>
            </a:solidFill>
            <a:ln>
              <a:noFill/>
            </a:ln>
            <a:effectLst/>
          </c:spPr>
          <c:invertIfNegative val="0"/>
          <c:cat>
            <c:strRef>
              <c:f>'pivot table'!$Y$21</c:f>
              <c:strCache>
                <c:ptCount val="1"/>
                <c:pt idx="0">
                  <c:v>Total</c:v>
                </c:pt>
              </c:strCache>
            </c:strRef>
          </c:cat>
          <c:val>
            <c:numRef>
              <c:f>'pivot table'!$Z$21</c:f>
              <c:numCache>
                <c:formatCode>_("₦"* #,##0.00_);_("₦"* \(#,##0.00\);_("₦"* "-"??_);_(@_)</c:formatCode>
                <c:ptCount val="1"/>
                <c:pt idx="0">
                  <c:v>27125210397.529987</c:v>
                </c:pt>
              </c:numCache>
            </c:numRef>
          </c:val>
          <c:extLst>
            <c:ext xmlns:c16="http://schemas.microsoft.com/office/drawing/2014/chart" uri="{C3380CC4-5D6E-409C-BE32-E72D297353CC}">
              <c16:uniqueId val="{00000001-28B9-47EE-9FC7-31B9504A231F}"/>
            </c:ext>
          </c:extLst>
        </c:ser>
        <c:ser>
          <c:idx val="2"/>
          <c:order val="2"/>
          <c:tx>
            <c:strRef>
              <c:f>'pivot table'!$AA$20</c:f>
              <c:strCache>
                <c:ptCount val="1"/>
                <c:pt idx="0">
                  <c:v> ROAD TAXES</c:v>
                </c:pt>
              </c:strCache>
            </c:strRef>
          </c:tx>
          <c:spPr>
            <a:gradFill flip="none" rotWithShape="1">
              <a:gsLst>
                <a:gs pos="23000">
                  <a:schemeClr val="accent3">
                    <a:lumMod val="89000"/>
                  </a:schemeClr>
                </a:gs>
                <a:gs pos="37000">
                  <a:schemeClr val="accent3">
                    <a:lumMod val="75000"/>
                  </a:schemeClr>
                </a:gs>
                <a:gs pos="97000">
                  <a:schemeClr val="accent3">
                    <a:lumMod val="70000"/>
                  </a:schemeClr>
                </a:gs>
              </a:gsLst>
              <a:path path="shape">
                <a:fillToRect l="50000" t="50000" r="50000" b="50000"/>
              </a:path>
              <a:tileRect/>
            </a:gra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C-4B18-48FE-86DE-3C9B8E411B97}"/>
              </c:ext>
            </c:extLst>
          </c:dPt>
          <c:cat>
            <c:strRef>
              <c:f>'pivot table'!$Y$21</c:f>
              <c:strCache>
                <c:ptCount val="1"/>
                <c:pt idx="0">
                  <c:v>Total</c:v>
                </c:pt>
              </c:strCache>
            </c:strRef>
          </c:cat>
          <c:val>
            <c:numRef>
              <c:f>'pivot table'!$AA$21</c:f>
              <c:numCache>
                <c:formatCode>General</c:formatCode>
                <c:ptCount val="1"/>
                <c:pt idx="0">
                  <c:v>24571134250.520004</c:v>
                </c:pt>
              </c:numCache>
            </c:numRef>
          </c:val>
          <c:extLst>
            <c:ext xmlns:c16="http://schemas.microsoft.com/office/drawing/2014/chart" uri="{C3380CC4-5D6E-409C-BE32-E72D297353CC}">
              <c16:uniqueId val="{00000002-28B9-47EE-9FC7-31B9504A231F}"/>
            </c:ext>
          </c:extLst>
        </c:ser>
        <c:ser>
          <c:idx val="3"/>
          <c:order val="3"/>
          <c:tx>
            <c:strRef>
              <c:f>'pivot table'!$AB$20</c:f>
              <c:strCache>
                <c:ptCount val="1"/>
                <c:pt idx="0">
                  <c:v> PAYE</c:v>
                </c:pt>
              </c:strCache>
            </c:strRef>
          </c:tx>
          <c:spPr>
            <a:solidFill>
              <a:schemeClr val="accent3">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table'!$Y$21</c:f>
              <c:strCache>
                <c:ptCount val="1"/>
                <c:pt idx="0">
                  <c:v>Total</c:v>
                </c:pt>
              </c:strCache>
            </c:strRef>
          </c:cat>
          <c:val>
            <c:numRef>
              <c:f>'pivot table'!$AB$21</c:f>
              <c:numCache>
                <c:formatCode>General</c:formatCode>
                <c:ptCount val="1"/>
                <c:pt idx="0">
                  <c:v>994404455858.06018</c:v>
                </c:pt>
              </c:numCache>
            </c:numRef>
          </c:val>
          <c:extLst>
            <c:ext xmlns:c16="http://schemas.microsoft.com/office/drawing/2014/chart" uri="{C3380CC4-5D6E-409C-BE32-E72D297353CC}">
              <c16:uniqueId val="{00000003-28B9-47EE-9FC7-31B9504A231F}"/>
            </c:ext>
          </c:extLst>
        </c:ser>
        <c:ser>
          <c:idx val="4"/>
          <c:order val="4"/>
          <c:tx>
            <c:strRef>
              <c:f>'pivot table'!$AC$20</c:f>
              <c:strCache>
                <c:ptCount val="1"/>
                <c:pt idx="0">
                  <c:v> OTHER TAXES</c:v>
                </c:pt>
              </c:strCache>
            </c:strRef>
          </c:tx>
          <c:spPr>
            <a:solidFill>
              <a:schemeClr val="bg2">
                <a:lumMod val="50000"/>
              </a:schemeClr>
            </a:solidFill>
            <a:ln>
              <a:noFill/>
            </a:ln>
            <a:effectLst/>
          </c:spPr>
          <c:invertIfNegative val="0"/>
          <c:cat>
            <c:strRef>
              <c:f>'pivot table'!$Y$21</c:f>
              <c:strCache>
                <c:ptCount val="1"/>
                <c:pt idx="0">
                  <c:v>Total</c:v>
                </c:pt>
              </c:strCache>
            </c:strRef>
          </c:cat>
          <c:val>
            <c:numRef>
              <c:f>'pivot table'!$AC$21</c:f>
              <c:numCache>
                <c:formatCode>General</c:formatCode>
                <c:ptCount val="1"/>
                <c:pt idx="0">
                  <c:v>179952121959.25003</c:v>
                </c:pt>
              </c:numCache>
            </c:numRef>
          </c:val>
          <c:extLst>
            <c:ext xmlns:c16="http://schemas.microsoft.com/office/drawing/2014/chart" uri="{C3380CC4-5D6E-409C-BE32-E72D297353CC}">
              <c16:uniqueId val="{00000004-28B9-47EE-9FC7-31B9504A231F}"/>
            </c:ext>
          </c:extLst>
        </c:ser>
        <c:ser>
          <c:idx val="5"/>
          <c:order val="5"/>
          <c:tx>
            <c:strRef>
              <c:f>'pivot table'!$AD$20</c:f>
              <c:strCache>
                <c:ptCount val="1"/>
                <c:pt idx="0">
                  <c:v> MDAs REVENUE</c:v>
                </c:pt>
              </c:strCache>
            </c:strRef>
          </c:tx>
          <c:spPr>
            <a:solidFill>
              <a:srgbClr val="00B050"/>
            </a:solidFill>
            <a:ln>
              <a:noFill/>
            </a:ln>
            <a:effectLst/>
          </c:spPr>
          <c:invertIfNegative val="0"/>
          <c:cat>
            <c:strRef>
              <c:f>'pivot table'!$Y$21</c:f>
              <c:strCache>
                <c:ptCount val="1"/>
                <c:pt idx="0">
                  <c:v>Total</c:v>
                </c:pt>
              </c:strCache>
            </c:strRef>
          </c:cat>
          <c:val>
            <c:numRef>
              <c:f>'pivot table'!$AD$21</c:f>
              <c:numCache>
                <c:formatCode>General</c:formatCode>
                <c:ptCount val="1"/>
                <c:pt idx="0">
                  <c:v>455072177190.2901</c:v>
                </c:pt>
              </c:numCache>
            </c:numRef>
          </c:val>
          <c:extLst>
            <c:ext xmlns:c16="http://schemas.microsoft.com/office/drawing/2014/chart" uri="{C3380CC4-5D6E-409C-BE32-E72D297353CC}">
              <c16:uniqueId val="{00000005-28B9-47EE-9FC7-31B9504A231F}"/>
            </c:ext>
          </c:extLst>
        </c:ser>
        <c:ser>
          <c:idx val="6"/>
          <c:order val="6"/>
          <c:tx>
            <c:strRef>
              <c:f>'pivot table'!$AE$20</c:f>
              <c:strCache>
                <c:ptCount val="1"/>
                <c:pt idx="0">
                  <c:v> LGA Revenue</c:v>
                </c:pt>
              </c:strCache>
            </c:strRef>
          </c:tx>
          <c:spPr>
            <a:gradFill flip="none" rotWithShape="1">
              <a:gsLst>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invertIfNegative val="0"/>
          <c:cat>
            <c:strRef>
              <c:f>'pivot table'!$Y$21</c:f>
              <c:strCache>
                <c:ptCount val="1"/>
                <c:pt idx="0">
                  <c:v>Total</c:v>
                </c:pt>
              </c:strCache>
            </c:strRef>
          </c:cat>
          <c:val>
            <c:numRef>
              <c:f>'pivot table'!$AE$21</c:f>
              <c:numCache>
                <c:formatCode>General</c:formatCode>
                <c:ptCount val="1"/>
                <c:pt idx="0">
                  <c:v>48710221775.270004</c:v>
                </c:pt>
              </c:numCache>
            </c:numRef>
          </c:val>
          <c:extLst>
            <c:ext xmlns:c16="http://schemas.microsoft.com/office/drawing/2014/chart" uri="{C3380CC4-5D6E-409C-BE32-E72D297353CC}">
              <c16:uniqueId val="{00000006-28B9-47EE-9FC7-31B9504A231F}"/>
            </c:ext>
          </c:extLst>
        </c:ser>
        <c:ser>
          <c:idx val="7"/>
          <c:order val="7"/>
          <c:tx>
            <c:strRef>
              <c:f>'pivot table'!$AF$20</c:f>
              <c:strCache>
                <c:ptCount val="1"/>
                <c:pt idx="0">
                  <c:v> DIRECT ASSESSMENT</c:v>
                </c:pt>
              </c:strCache>
            </c:strRef>
          </c:tx>
          <c:spPr>
            <a:solidFill>
              <a:schemeClr val="accent3">
                <a:lumMod val="60000"/>
                <a:lumOff val="40000"/>
              </a:schemeClr>
            </a:solidFill>
            <a:ln>
              <a:noFill/>
            </a:ln>
            <a:effectLst/>
          </c:spPr>
          <c:invertIfNegative val="0"/>
          <c:cat>
            <c:strRef>
              <c:f>'pivot table'!$Y$21</c:f>
              <c:strCache>
                <c:ptCount val="1"/>
                <c:pt idx="0">
                  <c:v>Total</c:v>
                </c:pt>
              </c:strCache>
            </c:strRef>
          </c:cat>
          <c:val>
            <c:numRef>
              <c:f>'pivot table'!$AF$21</c:f>
              <c:numCache>
                <c:formatCode>General</c:formatCode>
                <c:ptCount val="1"/>
                <c:pt idx="0">
                  <c:v>52349772646.640007</c:v>
                </c:pt>
              </c:numCache>
            </c:numRef>
          </c:val>
          <c:extLst>
            <c:ext xmlns:c16="http://schemas.microsoft.com/office/drawing/2014/chart" uri="{C3380CC4-5D6E-409C-BE32-E72D297353CC}">
              <c16:uniqueId val="{00000007-28B9-47EE-9FC7-31B9504A231F}"/>
            </c:ext>
          </c:extLst>
        </c:ser>
        <c:ser>
          <c:idx val="8"/>
          <c:order val="8"/>
          <c:tx>
            <c:strRef>
              <c:f>'pivot table'!$AG$20</c:f>
              <c:strCache>
                <c:ptCount val="1"/>
                <c:pt idx="0">
                  <c:v> CAPITAL GAIN TAX</c:v>
                </c:pt>
              </c:strCache>
            </c:strRef>
          </c:tx>
          <c:spPr>
            <a:solidFill>
              <a:schemeClr val="accent3">
                <a:lumMod val="60000"/>
              </a:schemeClr>
            </a:solidFill>
            <a:ln>
              <a:noFill/>
            </a:ln>
            <a:effectLst/>
          </c:spPr>
          <c:invertIfNegative val="0"/>
          <c:cat>
            <c:strRef>
              <c:f>'pivot table'!$Y$21</c:f>
              <c:strCache>
                <c:ptCount val="1"/>
                <c:pt idx="0">
                  <c:v>Total</c:v>
                </c:pt>
              </c:strCache>
            </c:strRef>
          </c:cat>
          <c:val>
            <c:numRef>
              <c:f>'pivot table'!$AG$21</c:f>
              <c:numCache>
                <c:formatCode>General</c:formatCode>
                <c:ptCount val="1"/>
                <c:pt idx="0">
                  <c:v>3521439973.769999</c:v>
                </c:pt>
              </c:numCache>
            </c:numRef>
          </c:val>
          <c:extLst>
            <c:ext xmlns:c16="http://schemas.microsoft.com/office/drawing/2014/chart" uri="{C3380CC4-5D6E-409C-BE32-E72D297353CC}">
              <c16:uniqueId val="{00000008-28B9-47EE-9FC7-31B9504A231F}"/>
            </c:ext>
          </c:extLst>
        </c:ser>
        <c:dLbls>
          <c:showLegendKey val="0"/>
          <c:showVal val="0"/>
          <c:showCatName val="0"/>
          <c:showSerName val="0"/>
          <c:showPercent val="0"/>
          <c:showBubbleSize val="0"/>
        </c:dLbls>
        <c:gapWidth val="219"/>
        <c:overlap val="-27"/>
        <c:axId val="1340062911"/>
        <c:axId val="1340067487"/>
      </c:barChart>
      <c:catAx>
        <c:axId val="1340062911"/>
        <c:scaling>
          <c:orientation val="minMax"/>
        </c:scaling>
        <c:delete val="1"/>
        <c:axPos val="b"/>
        <c:numFmt formatCode="General" sourceLinked="1"/>
        <c:majorTickMark val="none"/>
        <c:minorTickMark val="none"/>
        <c:tickLblPos val="nextTo"/>
        <c:crossAx val="1340067487"/>
        <c:crossesAt val="1000000"/>
        <c:auto val="1"/>
        <c:lblAlgn val="ctr"/>
        <c:lblOffset val="100"/>
        <c:noMultiLvlLbl val="0"/>
      </c:catAx>
      <c:valAx>
        <c:axId val="1340067487"/>
        <c:scaling>
          <c:orientation val="minMax"/>
          <c:max val="1000000000000"/>
          <c:min val="1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340062911"/>
        <c:crosses val="autoZero"/>
        <c:crossBetween val="between"/>
        <c:dispUnits>
          <c:builtInUnit val="hundredMillions"/>
        </c:dispUnits>
      </c:valAx>
      <c:spPr>
        <a:noFill/>
        <a:ln>
          <a:noFill/>
        </a:ln>
        <a:effectLst/>
      </c:spPr>
    </c:plotArea>
    <c:legend>
      <c:legendPos val="r"/>
      <c:layout>
        <c:manualLayout>
          <c:xMode val="edge"/>
          <c:yMode val="edge"/>
          <c:x val="0.75996184921268151"/>
          <c:y val="5.3025295456054361E-2"/>
          <c:w val="0.23059464119248968"/>
          <c:h val="0.8997297124629988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38100"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[IGR DATA 2019-2022 (Recovered).xlsx]pivot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BOTTOM</a:t>
            </a:r>
            <a:r>
              <a:rPr lang="en-US" baseline="0">
                <a:solidFill>
                  <a:schemeClr val="lt1"/>
                </a:solidFill>
                <a:latin typeface="+mn-lt"/>
                <a:ea typeface="+mn-ea"/>
                <a:cs typeface="+mn-cs"/>
              </a:rPr>
              <a:t> 5 PER TOTAL REVENUE</a:t>
            </a:r>
            <a:r>
              <a:rPr lang="en-US">
                <a:solidFill>
                  <a:schemeClr val="lt1"/>
                </a:solidFill>
                <a:latin typeface="+mn-lt"/>
                <a:ea typeface="+mn-ea"/>
                <a:cs typeface="+mn-cs"/>
              </a:rPr>
              <a:t>l</a:t>
            </a:r>
            <a:endParaRPr lang="en-US"/>
          </a:p>
        </c:rich>
      </c:tx>
      <c:layout>
        <c:manualLayout>
          <c:xMode val="edge"/>
          <c:yMode val="edge"/>
          <c:x val="0.6252063043733288"/>
          <c:y val="2.6819921753406237E-2"/>
        </c:manualLayout>
      </c:layout>
      <c:overlay val="0"/>
      <c:spPr>
        <a:solidFill>
          <a:schemeClr val="accent3"/>
        </a:solidFill>
        <a:ln w="25400" cap="flat" cmpd="sng" algn="ctr">
          <a:solidFill>
            <a:schemeClr val="accent3">
              <a:shade val="50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pivotFmt>
      <c:pivotFmt>
        <c:idx val="1"/>
        <c:spPr>
          <a:solidFill>
            <a:schemeClr val="accent3">
              <a:lumMod val="40000"/>
              <a:lumOff val="60000"/>
            </a:schemeClr>
          </a:solidFill>
          <a:ln>
            <a:noFill/>
          </a:ln>
          <a:effectLst/>
        </c:spPr>
      </c:pivotFmt>
      <c:pivotFmt>
        <c:idx val="2"/>
        <c:spPr>
          <a:solidFill>
            <a:schemeClr val="accent3">
              <a:lumMod val="75000"/>
            </a:schemeClr>
          </a:solidFill>
          <a:ln>
            <a:noFill/>
          </a:ln>
          <a:effectLst/>
        </c:spPr>
        <c:marker>
          <c:symbol val="none"/>
        </c:marker>
      </c:pivotFmt>
      <c:pivotFmt>
        <c:idx val="3"/>
        <c:spPr>
          <a:solidFill>
            <a:schemeClr val="accent3">
              <a:lumMod val="40000"/>
              <a:lumOff val="60000"/>
            </a:schemeClr>
          </a:solidFill>
          <a:ln>
            <a:noFill/>
          </a:ln>
          <a:effectLst/>
        </c:spPr>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pivotFmt>
    </c:pivotFmts>
    <c:plotArea>
      <c:layout/>
      <c:barChart>
        <c:barDir val="col"/>
        <c:grouping val="clustered"/>
        <c:varyColors val="0"/>
        <c:ser>
          <c:idx val="0"/>
          <c:order val="0"/>
          <c:tx>
            <c:strRef>
              <c:f>'pivot table'!$Z$47</c:f>
              <c:strCache>
                <c:ptCount val="1"/>
                <c:pt idx="0">
                  <c:v>Total</c:v>
                </c:pt>
              </c:strCache>
            </c:strRef>
          </c:tx>
          <c:spPr>
            <a:solidFill>
              <a:srgbClr val="92D050"/>
            </a:solidFill>
            <a:ln>
              <a:noFill/>
            </a:ln>
            <a:effectLst/>
          </c:spPr>
          <c:invertIfNegative val="0"/>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F709-4780-B7E5-3D592B41B008}"/>
              </c:ext>
            </c:extLst>
          </c:dPt>
          <c:cat>
            <c:strRef>
              <c:f>'pivot table'!$Y$48:$Y$53</c:f>
              <c:strCache>
                <c:ptCount val="5"/>
                <c:pt idx="0">
                  <c:v>KATSINA</c:v>
                </c:pt>
                <c:pt idx="1">
                  <c:v>EBONYI</c:v>
                </c:pt>
                <c:pt idx="2">
                  <c:v>YOBE</c:v>
                </c:pt>
                <c:pt idx="3">
                  <c:v>TARABA</c:v>
                </c:pt>
                <c:pt idx="4">
                  <c:v>KEBBI</c:v>
                </c:pt>
              </c:strCache>
            </c:strRef>
          </c:cat>
          <c:val>
            <c:numRef>
              <c:f>'pivot table'!$Z$48:$Z$53</c:f>
              <c:numCache>
                <c:formatCode>_("₦"* #,##0.00_);_("₦"* \(#,##0.00\);_("₦"* "-"??_);_(@_)</c:formatCode>
                <c:ptCount val="5"/>
                <c:pt idx="0">
                  <c:v>13045383440.230001</c:v>
                </c:pt>
                <c:pt idx="1">
                  <c:v>12426178539.059999</c:v>
                </c:pt>
                <c:pt idx="2">
                  <c:v>10456776796.18</c:v>
                </c:pt>
                <c:pt idx="3">
                  <c:v>10238110125.950001</c:v>
                </c:pt>
                <c:pt idx="4">
                  <c:v>9146249907.8299999</c:v>
                </c:pt>
              </c:numCache>
            </c:numRef>
          </c:val>
          <c:extLst>
            <c:ext xmlns:c16="http://schemas.microsoft.com/office/drawing/2014/chart" uri="{C3380CC4-5D6E-409C-BE32-E72D297353CC}">
              <c16:uniqueId val="{00000002-F709-4780-B7E5-3D592B41B008}"/>
            </c:ext>
          </c:extLst>
        </c:ser>
        <c:dLbls>
          <c:showLegendKey val="0"/>
          <c:showVal val="0"/>
          <c:showCatName val="0"/>
          <c:showSerName val="0"/>
          <c:showPercent val="0"/>
          <c:showBubbleSize val="0"/>
        </c:dLbls>
        <c:gapWidth val="219"/>
        <c:overlap val="-27"/>
        <c:axId val="1511700143"/>
        <c:axId val="1511697647"/>
      </c:barChart>
      <c:catAx>
        <c:axId val="151170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511697647"/>
        <c:crosses val="autoZero"/>
        <c:auto val="1"/>
        <c:lblAlgn val="ctr"/>
        <c:lblOffset val="100"/>
        <c:noMultiLvlLbl val="0"/>
      </c:catAx>
      <c:valAx>
        <c:axId val="151169764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11700143"/>
        <c:crosses val="autoZero"/>
        <c:crossBetween val="between"/>
      </c:valAx>
      <c:spPr>
        <a:noFill/>
        <a:ln>
          <a:noFill/>
        </a:ln>
        <a:effectLst/>
      </c:spPr>
    </c:plotArea>
    <c:plotVisOnly val="1"/>
    <c:dispBlanksAs val="gap"/>
    <c:showDLblsOverMax val="0"/>
  </c:chart>
  <c:spPr>
    <a:noFill/>
    <a:ln w="12700"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[IGR DATA 2019-2022 (Recovered).xlsx]pivot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LGA</a:t>
            </a:r>
            <a:r>
              <a:rPr lang="en-US" baseline="0">
                <a:solidFill>
                  <a:schemeClr val="lt1"/>
                </a:solidFill>
                <a:latin typeface="+mn-lt"/>
                <a:ea typeface="+mn-ea"/>
                <a:cs typeface="+mn-cs"/>
              </a:rPr>
              <a:t> REVENUE</a:t>
            </a:r>
            <a:endParaRPr lang="en-US"/>
          </a:p>
        </c:rich>
      </c:tx>
      <c:overlay val="0"/>
      <c:spPr>
        <a:solidFill>
          <a:schemeClr val="accent3"/>
        </a:solidFill>
        <a:ln w="25400" cap="flat" cmpd="sng" algn="ctr">
          <a:solidFill>
            <a:schemeClr val="accent3">
              <a:shade val="50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s>
    <c:plotArea>
      <c:layout>
        <c:manualLayout>
          <c:layoutTarget val="inner"/>
          <c:xMode val="edge"/>
          <c:yMode val="edge"/>
          <c:x val="0.1354562554680665"/>
          <c:y val="2.7586759988334791E-2"/>
          <c:w val="0.76757770663282476"/>
          <c:h val="0.88816200058326045"/>
        </c:manualLayout>
      </c:layout>
      <c:barChart>
        <c:barDir val="bar"/>
        <c:grouping val="clustered"/>
        <c:varyColors val="0"/>
        <c:ser>
          <c:idx val="0"/>
          <c:order val="0"/>
          <c:tx>
            <c:strRef>
              <c:f>'pivot table'!$B$1</c:f>
              <c:strCache>
                <c:ptCount val="1"/>
                <c:pt idx="0">
                  <c:v>Total</c:v>
                </c:pt>
              </c:strCache>
            </c:strRef>
          </c:tx>
          <c:spPr>
            <a:solidFill>
              <a:schemeClr val="accent3">
                <a:lumMod val="75000"/>
              </a:schemeClr>
            </a:solidFill>
            <a:ln>
              <a:noFill/>
            </a:ln>
            <a:effectLst/>
          </c:spPr>
          <c:invertIfNegative val="0"/>
          <c:dPt>
            <c:idx val="8"/>
            <c:invertIfNegative val="0"/>
            <c:bubble3D val="0"/>
            <c:extLst>
              <c:ext xmlns:c16="http://schemas.microsoft.com/office/drawing/2014/chart" uri="{C3380CC4-5D6E-409C-BE32-E72D297353CC}">
                <c16:uniqueId val="{00000001-A39A-47FD-B8A2-2117B690D349}"/>
              </c:ext>
            </c:extLst>
          </c:dPt>
          <c:dPt>
            <c:idx val="30"/>
            <c:invertIfNegative val="0"/>
            <c:bubble3D val="0"/>
            <c:extLst>
              <c:ext xmlns:c16="http://schemas.microsoft.com/office/drawing/2014/chart" uri="{C3380CC4-5D6E-409C-BE32-E72D297353CC}">
                <c16:uniqueId val="{0000000C-A4D1-426E-AF09-5851E45BC6E4}"/>
              </c:ext>
            </c:extLst>
          </c:dPt>
          <c:cat>
            <c:strRef>
              <c:f>'pivot table'!$A$2:$A$12</c:f>
              <c:strCache>
                <c:ptCount val="10"/>
                <c:pt idx="0">
                  <c:v>OYO</c:v>
                </c:pt>
                <c:pt idx="1">
                  <c:v>LAGOS</c:v>
                </c:pt>
                <c:pt idx="2">
                  <c:v>JIGAWA</c:v>
                </c:pt>
                <c:pt idx="3">
                  <c:v>RIVERS</c:v>
                </c:pt>
                <c:pt idx="4">
                  <c:v>EDO</c:v>
                </c:pt>
                <c:pt idx="5">
                  <c:v>DELTA</c:v>
                </c:pt>
                <c:pt idx="6">
                  <c:v>OGUN</c:v>
                </c:pt>
                <c:pt idx="7">
                  <c:v>ENUGU</c:v>
                </c:pt>
                <c:pt idx="8">
                  <c:v>NASSARAWA</c:v>
                </c:pt>
                <c:pt idx="9">
                  <c:v>KANO</c:v>
                </c:pt>
              </c:strCache>
            </c:strRef>
          </c:cat>
          <c:val>
            <c:numRef>
              <c:f>'pivot table'!$B$2:$B$12</c:f>
              <c:numCache>
                <c:formatCode>General</c:formatCode>
                <c:ptCount val="10"/>
                <c:pt idx="0">
                  <c:v>11832437020.33</c:v>
                </c:pt>
                <c:pt idx="1">
                  <c:v>11505586283.35</c:v>
                </c:pt>
                <c:pt idx="2">
                  <c:v>8700993591.7800007</c:v>
                </c:pt>
                <c:pt idx="3">
                  <c:v>2476070775.6500001</c:v>
                </c:pt>
                <c:pt idx="4">
                  <c:v>2395540633.0300002</c:v>
                </c:pt>
                <c:pt idx="5">
                  <c:v>1860931470.7</c:v>
                </c:pt>
                <c:pt idx="6">
                  <c:v>1340006681.1099999</c:v>
                </c:pt>
                <c:pt idx="7">
                  <c:v>1076091249.79</c:v>
                </c:pt>
                <c:pt idx="8">
                  <c:v>843566085</c:v>
                </c:pt>
                <c:pt idx="9">
                  <c:v>820759757.39999998</c:v>
                </c:pt>
              </c:numCache>
            </c:numRef>
          </c:val>
          <c:extLst>
            <c:ext xmlns:c16="http://schemas.microsoft.com/office/drawing/2014/chart" uri="{C3380CC4-5D6E-409C-BE32-E72D297353CC}">
              <c16:uniqueId val="{00000000-A4D1-426E-AF09-5851E45BC6E4}"/>
            </c:ext>
          </c:extLst>
        </c:ser>
        <c:dLbls>
          <c:showLegendKey val="0"/>
          <c:showVal val="0"/>
          <c:showCatName val="0"/>
          <c:showSerName val="0"/>
          <c:showPercent val="0"/>
          <c:showBubbleSize val="0"/>
        </c:dLbls>
        <c:gapWidth val="182"/>
        <c:axId val="621749424"/>
        <c:axId val="621748176"/>
      </c:barChart>
      <c:catAx>
        <c:axId val="62174942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621748176"/>
        <c:crosses val="autoZero"/>
        <c:auto val="1"/>
        <c:lblAlgn val="ctr"/>
        <c:lblOffset val="100"/>
        <c:noMultiLvlLbl val="0"/>
      </c:catAx>
      <c:valAx>
        <c:axId val="621748176"/>
        <c:scaling>
          <c:orientation val="minMax"/>
          <c:min val="10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74942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[IGR DATA 2019-2022 (Recovered).xlsx]pivot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tax and total Revenue per State</a:t>
            </a:r>
            <a:endParaRPr lang="en-US"/>
          </a:p>
        </c:rich>
      </c:tx>
      <c:layout>
        <c:manualLayout>
          <c:xMode val="edge"/>
          <c:yMode val="edge"/>
          <c:x val="0.6463657948667022"/>
          <c:y val="2.9206539400706232E-2"/>
        </c:manualLayout>
      </c:layout>
      <c:overlay val="0"/>
      <c:spPr>
        <a:solidFill>
          <a:schemeClr val="accent3"/>
        </a:solidFill>
        <a:ln w="25400" cap="flat" cmpd="sng" algn="ctr">
          <a:solidFill>
            <a:schemeClr val="accent3">
              <a:shade val="50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solidFill>
              <a:schemeClr val="accent6">
                <a:lumMod val="75000"/>
              </a:schemeClr>
            </a:solidFill>
          </a:ln>
          <a:effectLst/>
        </c:spPr>
      </c:pivotFmt>
      <c:pivotFmt>
        <c:idx val="2"/>
        <c:spPr>
          <a:solidFill>
            <a:schemeClr val="accent1"/>
          </a:solidFill>
          <a:ln>
            <a:noFill/>
          </a:ln>
          <a:effectLst/>
        </c:spPr>
        <c:marker>
          <c:symbol val="none"/>
        </c:marker>
      </c:pivotFmt>
      <c:pivotFmt>
        <c:idx val="3"/>
        <c:spPr>
          <a:solidFill>
            <a:srgbClr val="92D050"/>
          </a:solidFill>
          <a:ln>
            <a:noFill/>
          </a:ln>
          <a:effectLst/>
        </c:spPr>
        <c:marker>
          <c:symbol val="none"/>
        </c:marker>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5420403123187"/>
          <c:y val="6.5363511659807957E-2"/>
          <c:w val="0.88456719893546243"/>
          <c:h val="0.5364506172839506"/>
        </c:manualLayout>
      </c:layout>
      <c:barChart>
        <c:barDir val="col"/>
        <c:grouping val="clustered"/>
        <c:varyColors val="0"/>
        <c:ser>
          <c:idx val="0"/>
          <c:order val="0"/>
          <c:tx>
            <c:strRef>
              <c:f>'pivot table'!$M$7</c:f>
              <c:strCache>
                <c:ptCount val="1"/>
                <c:pt idx="0">
                  <c:v> TOTAL TAX</c:v>
                </c:pt>
              </c:strCache>
            </c:strRef>
          </c:tx>
          <c:spPr>
            <a:solidFill>
              <a:schemeClr val="accent3">
                <a:lumMod val="60000"/>
                <a:lumOff val="40000"/>
              </a:schemeClr>
            </a:solidFill>
            <a:ln>
              <a:noFill/>
            </a:ln>
            <a:effectLst/>
          </c:spPr>
          <c:invertIfNegative val="0"/>
          <c:cat>
            <c:strRef>
              <c:f>'pivot table'!$L$8:$L$18</c:f>
              <c:strCache>
                <c:ptCount val="10"/>
                <c:pt idx="0">
                  <c:v>LAGOS</c:v>
                </c:pt>
                <c:pt idx="1">
                  <c:v>RIVERS</c:v>
                </c:pt>
                <c:pt idx="2">
                  <c:v>FEDERAL CAPITAL TERRITORY</c:v>
                </c:pt>
                <c:pt idx="3">
                  <c:v>DELTA</c:v>
                </c:pt>
                <c:pt idx="4">
                  <c:v>OGUN</c:v>
                </c:pt>
                <c:pt idx="5">
                  <c:v>OYO</c:v>
                </c:pt>
                <c:pt idx="6">
                  <c:v>KADUNA</c:v>
                </c:pt>
                <c:pt idx="7">
                  <c:v>EDO</c:v>
                </c:pt>
                <c:pt idx="8">
                  <c:v>KANO</c:v>
                </c:pt>
                <c:pt idx="9">
                  <c:v>ONDO</c:v>
                </c:pt>
              </c:strCache>
            </c:strRef>
          </c:cat>
          <c:val>
            <c:numRef>
              <c:f>'pivot table'!$M$8:$M$18</c:f>
              <c:numCache>
                <c:formatCode>_("₦"* #,##0.00_);_("₦"* \(#,##0.00\);_("₦"* "-"??_);_(@_)</c:formatCode>
                <c:ptCount val="10"/>
                <c:pt idx="0">
                  <c:v>524873024884.47998</c:v>
                </c:pt>
                <c:pt idx="1">
                  <c:v>153562844055.14999</c:v>
                </c:pt>
                <c:pt idx="2">
                  <c:v>124366774519.25</c:v>
                </c:pt>
                <c:pt idx="3">
                  <c:v>71495446090.549988</c:v>
                </c:pt>
                <c:pt idx="4">
                  <c:v>53312177070.880005</c:v>
                </c:pt>
                <c:pt idx="5">
                  <c:v>45321456990.729996</c:v>
                </c:pt>
                <c:pt idx="6">
                  <c:v>34517325183.779999</c:v>
                </c:pt>
                <c:pt idx="7">
                  <c:v>32968052908.219994</c:v>
                </c:pt>
                <c:pt idx="8">
                  <c:v>30187194255.580002</c:v>
                </c:pt>
                <c:pt idx="9">
                  <c:v>27673995607.350002</c:v>
                </c:pt>
              </c:numCache>
            </c:numRef>
          </c:val>
          <c:extLst>
            <c:ext xmlns:c16="http://schemas.microsoft.com/office/drawing/2014/chart" uri="{C3380CC4-5D6E-409C-BE32-E72D297353CC}">
              <c16:uniqueId val="{00000000-82FE-44C4-9207-E5E371F02535}"/>
            </c:ext>
          </c:extLst>
        </c:ser>
        <c:ser>
          <c:idx val="1"/>
          <c:order val="1"/>
          <c:tx>
            <c:strRef>
              <c:f>'pivot table'!$N$7</c:f>
              <c:strCache>
                <c:ptCount val="1"/>
                <c:pt idx="0">
                  <c:v> TOTAL</c:v>
                </c:pt>
              </c:strCache>
            </c:strRef>
          </c:tx>
          <c:spPr>
            <a:solidFill>
              <a:schemeClr val="accent3">
                <a:lumMod val="75000"/>
              </a:schemeClr>
            </a:solidFill>
            <a:ln>
              <a:noFill/>
            </a:ln>
            <a:effectLst/>
          </c:spPr>
          <c:invertIfNegative val="0"/>
          <c:cat>
            <c:strRef>
              <c:f>'pivot table'!$L$8:$L$18</c:f>
              <c:strCache>
                <c:ptCount val="10"/>
                <c:pt idx="0">
                  <c:v>LAGOS</c:v>
                </c:pt>
                <c:pt idx="1">
                  <c:v>RIVERS</c:v>
                </c:pt>
                <c:pt idx="2">
                  <c:v>FEDERAL CAPITAL TERRITORY</c:v>
                </c:pt>
                <c:pt idx="3">
                  <c:v>DELTA</c:v>
                </c:pt>
                <c:pt idx="4">
                  <c:v>OGUN</c:v>
                </c:pt>
                <c:pt idx="5">
                  <c:v>OYO</c:v>
                </c:pt>
                <c:pt idx="6">
                  <c:v>KADUNA</c:v>
                </c:pt>
                <c:pt idx="7">
                  <c:v>EDO</c:v>
                </c:pt>
                <c:pt idx="8">
                  <c:v>KANO</c:v>
                </c:pt>
                <c:pt idx="9">
                  <c:v>ONDO</c:v>
                </c:pt>
              </c:strCache>
            </c:strRef>
          </c:cat>
          <c:val>
            <c:numRef>
              <c:f>'pivot table'!$N$8:$N$18</c:f>
              <c:numCache>
                <c:formatCode>_("₦"* #,##0.00_);_("₦"* \(#,##0.00\);_("₦"* "-"??_);_(@_)</c:formatCode>
                <c:ptCount val="10"/>
                <c:pt idx="0">
                  <c:v>651145633085.30005</c:v>
                </c:pt>
                <c:pt idx="1">
                  <c:v>172823232535.44</c:v>
                </c:pt>
                <c:pt idx="2">
                  <c:v>124366774519.25</c:v>
                </c:pt>
                <c:pt idx="3">
                  <c:v>85901607747.299988</c:v>
                </c:pt>
                <c:pt idx="4">
                  <c:v>120584157140.78</c:v>
                </c:pt>
                <c:pt idx="5">
                  <c:v>62246150460.359993</c:v>
                </c:pt>
                <c:pt idx="6">
                  <c:v>58094591085.910004</c:v>
                </c:pt>
                <c:pt idx="7">
                  <c:v>47458128071.159996</c:v>
                </c:pt>
                <c:pt idx="8">
                  <c:v>42509911699.940002</c:v>
                </c:pt>
                <c:pt idx="9">
                  <c:v>32640660900.25</c:v>
                </c:pt>
              </c:numCache>
            </c:numRef>
          </c:val>
          <c:extLst>
            <c:ext xmlns:c16="http://schemas.microsoft.com/office/drawing/2014/chart" uri="{C3380CC4-5D6E-409C-BE32-E72D297353CC}">
              <c16:uniqueId val="{0000000B-82FE-44C4-9207-E5E371F02535}"/>
            </c:ext>
          </c:extLst>
        </c:ser>
        <c:dLbls>
          <c:showLegendKey val="0"/>
          <c:showVal val="0"/>
          <c:showCatName val="0"/>
          <c:showSerName val="0"/>
          <c:showPercent val="0"/>
          <c:showBubbleSize val="0"/>
        </c:dLbls>
        <c:gapWidth val="219"/>
        <c:overlap val="-27"/>
        <c:axId val="737660560"/>
        <c:axId val="737653488"/>
      </c:barChart>
      <c:catAx>
        <c:axId val="73766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737653488"/>
        <c:crossesAt val="0"/>
        <c:auto val="1"/>
        <c:lblAlgn val="ctr"/>
        <c:lblOffset val="100"/>
        <c:noMultiLvlLbl val="0"/>
      </c:catAx>
      <c:valAx>
        <c:axId val="737653488"/>
        <c:scaling>
          <c:orientation val="minMax"/>
          <c:min val="1000000"/>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7660560"/>
        <c:crosses val="autoZero"/>
        <c:crossBetween val="between"/>
        <c:dispUnits>
          <c:builtInUnit val="hundred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[IGR DATA 2019-2022 (Recovered).xlsx]pivot table!PivotTable13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TOTAL REVENUE</a:t>
            </a:r>
          </a:p>
        </c:rich>
      </c:tx>
      <c:layout>
        <c:manualLayout>
          <c:xMode val="edge"/>
          <c:yMode val="edge"/>
          <c:x val="0.53652077865266845"/>
          <c:y val="4.629629629629629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3"/>
          </a:solidFill>
          <a:ln>
            <a:noFill/>
          </a:ln>
          <a:effectLst>
            <a:outerShdw blurRad="254000" sx="102000" sy="102000" algn="ctr" rotWithShape="0">
              <a:prstClr val="black">
                <a:alpha val="20000"/>
              </a:prstClr>
            </a:outerShdw>
          </a:effectLst>
        </c:spPr>
        <c:marker>
          <c:spPr>
            <a:solidFill>
              <a:schemeClr val="accent3">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3">
              <a:shade val="53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3">
              <a:shade val="76000"/>
            </a:schemeClr>
          </a:solidFill>
          <a:ln>
            <a:noFill/>
          </a:ln>
          <a:effectLst>
            <a:outerShdw blurRad="254000" sx="102000" sy="102000" algn="ctr" rotWithShape="0">
              <a:prstClr val="black">
                <a:alpha val="20000"/>
              </a:prstClr>
            </a:outerShdw>
          </a:effectLst>
        </c:spPr>
      </c:pivotFmt>
      <c:pivotFmt>
        <c:idx val="27"/>
        <c:spPr>
          <a:solidFill>
            <a:schemeClr val="accent3"/>
          </a:solidFill>
          <a:ln>
            <a:noFill/>
          </a:ln>
          <a:effectLst>
            <a:outerShdw blurRad="254000" sx="102000" sy="102000" algn="ctr" rotWithShape="0">
              <a:prstClr val="black">
                <a:alpha val="20000"/>
              </a:prstClr>
            </a:outerShdw>
          </a:effectLst>
        </c:spPr>
      </c:pivotFmt>
      <c:pivotFmt>
        <c:idx val="28"/>
        <c:spPr>
          <a:solidFill>
            <a:schemeClr val="accent3">
              <a:tint val="77000"/>
            </a:schemeClr>
          </a:solidFill>
          <a:ln>
            <a:noFill/>
          </a:ln>
          <a:effectLst>
            <a:outerShdw blurRad="254000" sx="102000" sy="102000" algn="ctr" rotWithShape="0">
              <a:prstClr val="black">
                <a:alpha val="20000"/>
              </a:prstClr>
            </a:outerShdw>
          </a:effectLst>
        </c:spPr>
      </c:pivotFmt>
      <c:pivotFmt>
        <c:idx val="29"/>
        <c:spPr>
          <a:solidFill>
            <a:schemeClr val="accent3">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1.5139982502187224E-3"/>
          <c:y val="4.1666666666666599E-4"/>
          <c:w val="0.54141666666666666"/>
          <c:h val="0.90236111111111106"/>
        </c:manualLayout>
      </c:layout>
      <c:pieChart>
        <c:varyColors val="1"/>
        <c:ser>
          <c:idx val="0"/>
          <c:order val="0"/>
          <c:tx>
            <c:strRef>
              <c:f>'pivot table'!$Q$19</c:f>
              <c:strCache>
                <c:ptCount val="1"/>
                <c:pt idx="0">
                  <c:v>Total</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B0-4314-B2F6-8C6DB14B4FBB}"/>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B0-4314-B2F6-8C6DB14B4FBB}"/>
              </c:ext>
            </c:extLst>
          </c:dPt>
          <c:dPt>
            <c:idx val="2"/>
            <c:bubble3D val="0"/>
            <c:spPr>
              <a:solidFill>
                <a:schemeClr val="accent3">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B0-4314-B2F6-8C6DB14B4FBB}"/>
              </c:ext>
            </c:extLst>
          </c:dPt>
          <c:dPt>
            <c:idx val="3"/>
            <c:bubble3D val="0"/>
            <c:spPr>
              <a:solidFill>
                <a:schemeClr val="accent3">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B0-4314-B2F6-8C6DB14B4FBB}"/>
              </c:ext>
            </c:extLst>
          </c:dPt>
          <c:dPt>
            <c:idx val="4"/>
            <c:bubble3D val="0"/>
            <c:spPr>
              <a:solidFill>
                <a:schemeClr val="accent3">
                  <a:tint val="9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788F-4743-9098-A41CCBBAC659}"/>
              </c:ext>
            </c:extLst>
          </c:dPt>
          <c:dPt>
            <c:idx val="5"/>
            <c:bubble3D val="0"/>
            <c:spPr>
              <a:solidFill>
                <a:schemeClr val="accent3">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788F-4743-9098-A41CCBBAC659}"/>
              </c:ext>
            </c:extLst>
          </c:dPt>
          <c:dPt>
            <c:idx val="6"/>
            <c:bubble3D val="0"/>
            <c:spPr>
              <a:solidFill>
                <a:schemeClr val="accent3">
                  <a:tint val="2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88F-4743-9098-A41CCBBAC659}"/>
              </c:ext>
            </c:extLst>
          </c:dPt>
          <c:dPt>
            <c:idx val="7"/>
            <c:bubble3D val="0"/>
            <c:spPr>
              <a:solidFill>
                <a:schemeClr val="accent3">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788F-4743-9098-A41CCBBAC659}"/>
              </c:ext>
            </c:extLst>
          </c:dPt>
          <c:dPt>
            <c:idx val="8"/>
            <c:bubble3D val="0"/>
            <c:spPr>
              <a:solidFill>
                <a:schemeClr val="accent3">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0-788F-4743-9098-A41CCBBAC659}"/>
              </c:ext>
            </c:extLst>
          </c:dPt>
          <c:dPt>
            <c:idx val="9"/>
            <c:bubble3D val="0"/>
            <c:spPr>
              <a:solidFill>
                <a:schemeClr val="accent3">
                  <a:tint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1B0-4314-B2F6-8C6DB14B4F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table'!$P$20:$P$23</c:f>
              <c:strCache>
                <c:ptCount val="3"/>
                <c:pt idx="0">
                  <c:v>FEDERAL CAPITAL TERRITORY</c:v>
                </c:pt>
                <c:pt idx="1">
                  <c:v>LAGOS</c:v>
                </c:pt>
                <c:pt idx="2">
                  <c:v>RIVERS</c:v>
                </c:pt>
              </c:strCache>
            </c:strRef>
          </c:cat>
          <c:val>
            <c:numRef>
              <c:f>'pivot table'!$Q$20:$Q$23</c:f>
              <c:numCache>
                <c:formatCode>General</c:formatCode>
                <c:ptCount val="3"/>
                <c:pt idx="0">
                  <c:v>124366774519.25</c:v>
                </c:pt>
                <c:pt idx="1">
                  <c:v>651145633085.30005</c:v>
                </c:pt>
                <c:pt idx="2">
                  <c:v>172823232535.44</c:v>
                </c:pt>
              </c:numCache>
            </c:numRef>
          </c:val>
          <c:extLst>
            <c:ext xmlns:c16="http://schemas.microsoft.com/office/drawing/2014/chart" uri="{C3380CC4-5D6E-409C-BE32-E72D297353CC}">
              <c16:uniqueId val="{00000000-788F-4743-9098-A41CCBBAC65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pPr>
            <a:solidFill>
              <a:sysClr val="window" lastClr="FFFFFF"/>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75000"/>
                        <a:lumOff val="25000"/>
                      </a:schemeClr>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marker>
          <c:spPr>
            <a:solidFill>
              <a:srgbClr val="FFFF00"/>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5.7964790950774239E-2"/>
          <c:y val="5.6957917191261177E-2"/>
          <c:w val="0.75479096953071023"/>
          <c:h val="0.82292162721063589"/>
        </c:manualLayout>
      </c:layout>
      <c:lineChart>
        <c:grouping val="standard"/>
        <c:varyColors val="0"/>
        <c:dLbls>
          <c:showLegendKey val="0"/>
          <c:showVal val="0"/>
          <c:showCatName val="0"/>
          <c:showSerName val="0"/>
          <c:showPercent val="0"/>
          <c:showBubbleSize val="0"/>
        </c:dLbls>
        <c:marker val="1"/>
        <c:smooth val="0"/>
        <c:axId val="791063824"/>
        <c:axId val="791053840"/>
      </c:lineChart>
      <c:catAx>
        <c:axId val="79106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crossAx val="791053840"/>
        <c:crosses val="autoZero"/>
        <c:auto val="1"/>
        <c:lblAlgn val="ctr"/>
        <c:lblOffset val="100"/>
        <c:noMultiLvlLbl val="0"/>
      </c:catAx>
      <c:valAx>
        <c:axId val="79105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crossAx val="79106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ln>
            <a:solidFill>
              <a:schemeClr val="tx1">
                <a:lumMod val="75000"/>
                <a:lumOff val="25000"/>
              </a:schemeClr>
            </a:solidFill>
          </a:ln>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[IGR DATA 2019-2022 (Recovered).xlsx]pivot table!PivotTable1</c:name>
    <c:fmtId val="0"/>
  </c:pivotSource>
  <c:chart>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75000"/>
                  <a:tint val="66000"/>
                  <a:satMod val="160000"/>
                </a:schemeClr>
              </a:gs>
              <a:gs pos="50000">
                <a:schemeClr val="accent2">
                  <a:lumMod val="75000"/>
                  <a:tint val="44500"/>
                  <a:satMod val="160000"/>
                </a:schemeClr>
              </a:gs>
              <a:gs pos="100000">
                <a:schemeClr val="accent2">
                  <a:lumMod val="75000"/>
                  <a:tint val="23500"/>
                  <a:satMod val="160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6640147960779"/>
          <c:y val="5.0925925925925923E-2"/>
          <c:w val="0.49450342023309263"/>
          <c:h val="0.89814814814814814"/>
        </c:manualLayout>
      </c:layout>
      <c:barChart>
        <c:barDir val="col"/>
        <c:grouping val="clustered"/>
        <c:varyColors val="0"/>
        <c:ser>
          <c:idx val="0"/>
          <c:order val="0"/>
          <c:tx>
            <c:strRef>
              <c:f>'pivot table'!$Y$20</c:f>
              <c:strCache>
                <c:ptCount val="1"/>
                <c:pt idx="0">
                  <c:v> WITHHOLDING TAX</c:v>
                </c:pt>
              </c:strCache>
            </c:strRef>
          </c:tx>
          <c:spPr>
            <a:solidFill>
              <a:schemeClr val="accent1"/>
            </a:solidFill>
            <a:ln>
              <a:noFill/>
            </a:ln>
            <a:effectLst/>
          </c:spPr>
          <c:invertIfNegative val="0"/>
          <c:cat>
            <c:strRef>
              <c:f>'pivot table'!$Y$21</c:f>
              <c:strCache>
                <c:ptCount val="1"/>
                <c:pt idx="0">
                  <c:v>Total</c:v>
                </c:pt>
              </c:strCache>
            </c:strRef>
          </c:cat>
          <c:val>
            <c:numRef>
              <c:f>'pivot table'!$Y$21</c:f>
              <c:numCache>
                <c:formatCode>General</c:formatCode>
                <c:ptCount val="1"/>
                <c:pt idx="0">
                  <c:v>139906092599.43002</c:v>
                </c:pt>
              </c:numCache>
            </c:numRef>
          </c:val>
          <c:extLst>
            <c:ext xmlns:c16="http://schemas.microsoft.com/office/drawing/2014/chart" uri="{C3380CC4-5D6E-409C-BE32-E72D297353CC}">
              <c16:uniqueId val="{00000000-7CCE-479B-93B1-C0450B81A712}"/>
            </c:ext>
          </c:extLst>
        </c:ser>
        <c:ser>
          <c:idx val="1"/>
          <c:order val="1"/>
          <c:tx>
            <c:strRef>
              <c:f>'pivot table'!$Z$20</c:f>
              <c:strCache>
                <c:ptCount val="1"/>
                <c:pt idx="0">
                  <c:v> STAMP DUTIES</c:v>
                </c:pt>
              </c:strCache>
            </c:strRef>
          </c:tx>
          <c:spPr>
            <a:gradFill flip="none" rotWithShape="1">
              <a:gsLst>
                <a:gs pos="0">
                  <a:schemeClr val="accent2">
                    <a:lumMod val="75000"/>
                    <a:tint val="66000"/>
                    <a:satMod val="160000"/>
                  </a:schemeClr>
                </a:gs>
                <a:gs pos="50000">
                  <a:schemeClr val="accent2">
                    <a:lumMod val="75000"/>
                    <a:tint val="44500"/>
                    <a:satMod val="160000"/>
                  </a:schemeClr>
                </a:gs>
                <a:gs pos="100000">
                  <a:schemeClr val="accent2">
                    <a:lumMod val="75000"/>
                    <a:tint val="23500"/>
                    <a:satMod val="160000"/>
                  </a:schemeClr>
                </a:gs>
              </a:gsLst>
              <a:path path="circle">
                <a:fillToRect r="100000" b="100000"/>
              </a:path>
              <a:tileRect l="-100000" t="-100000"/>
            </a:gradFill>
            <a:ln>
              <a:noFill/>
            </a:ln>
            <a:effectLst/>
          </c:spPr>
          <c:invertIfNegative val="0"/>
          <c:cat>
            <c:strRef>
              <c:f>'pivot table'!$Y$21</c:f>
              <c:strCache>
                <c:ptCount val="1"/>
                <c:pt idx="0">
                  <c:v>Total</c:v>
                </c:pt>
              </c:strCache>
            </c:strRef>
          </c:cat>
          <c:val>
            <c:numRef>
              <c:f>'pivot table'!$Z$21</c:f>
              <c:numCache>
                <c:formatCode>_("₦"* #,##0.00_);_("₦"* \(#,##0.00\);_("₦"* "-"??_);_(@_)</c:formatCode>
                <c:ptCount val="1"/>
                <c:pt idx="0">
                  <c:v>27125210397.529987</c:v>
                </c:pt>
              </c:numCache>
            </c:numRef>
          </c:val>
          <c:extLst>
            <c:ext xmlns:c16="http://schemas.microsoft.com/office/drawing/2014/chart" uri="{C3380CC4-5D6E-409C-BE32-E72D297353CC}">
              <c16:uniqueId val="{00000001-7CCE-479B-93B1-C0450B81A712}"/>
            </c:ext>
          </c:extLst>
        </c:ser>
        <c:ser>
          <c:idx val="2"/>
          <c:order val="2"/>
          <c:tx>
            <c:strRef>
              <c:f>'pivot table'!$AA$20</c:f>
              <c:strCache>
                <c:ptCount val="1"/>
                <c:pt idx="0">
                  <c:v> ROAD TAXES</c:v>
                </c:pt>
              </c:strCache>
            </c:strRef>
          </c:tx>
          <c:spPr>
            <a:solidFill>
              <a:schemeClr val="tx2">
                <a:lumMod val="40000"/>
                <a:lumOff val="60000"/>
              </a:schemeClr>
            </a:solidFill>
            <a:ln>
              <a:noFill/>
            </a:ln>
            <a:effectLst/>
          </c:spPr>
          <c:invertIfNegative val="0"/>
          <c:cat>
            <c:strRef>
              <c:f>'pivot table'!$Y$21</c:f>
              <c:strCache>
                <c:ptCount val="1"/>
                <c:pt idx="0">
                  <c:v>Total</c:v>
                </c:pt>
              </c:strCache>
            </c:strRef>
          </c:cat>
          <c:val>
            <c:numRef>
              <c:f>'pivot table'!$AA$21</c:f>
              <c:numCache>
                <c:formatCode>General</c:formatCode>
                <c:ptCount val="1"/>
                <c:pt idx="0">
                  <c:v>24571134250.520004</c:v>
                </c:pt>
              </c:numCache>
            </c:numRef>
          </c:val>
          <c:extLst>
            <c:ext xmlns:c16="http://schemas.microsoft.com/office/drawing/2014/chart" uri="{C3380CC4-5D6E-409C-BE32-E72D297353CC}">
              <c16:uniqueId val="{00000002-7CCE-479B-93B1-C0450B81A712}"/>
            </c:ext>
          </c:extLst>
        </c:ser>
        <c:ser>
          <c:idx val="3"/>
          <c:order val="3"/>
          <c:tx>
            <c:strRef>
              <c:f>'pivot table'!$AB$20</c:f>
              <c:strCache>
                <c:ptCount val="1"/>
                <c:pt idx="0">
                  <c:v> PAYE</c:v>
                </c:pt>
              </c:strCache>
            </c:strRef>
          </c:tx>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lin ang="2700000" scaled="1"/>
              <a:tileRect/>
            </a:gradFill>
            <a:ln>
              <a:noFill/>
            </a:ln>
            <a:effectLst/>
          </c:spPr>
          <c:invertIfNegative val="0"/>
          <c:cat>
            <c:strRef>
              <c:f>'pivot table'!$Y$21</c:f>
              <c:strCache>
                <c:ptCount val="1"/>
                <c:pt idx="0">
                  <c:v>Total</c:v>
                </c:pt>
              </c:strCache>
            </c:strRef>
          </c:cat>
          <c:val>
            <c:numRef>
              <c:f>'pivot table'!$AB$21</c:f>
              <c:numCache>
                <c:formatCode>General</c:formatCode>
                <c:ptCount val="1"/>
                <c:pt idx="0">
                  <c:v>994404455858.06018</c:v>
                </c:pt>
              </c:numCache>
            </c:numRef>
          </c:val>
          <c:extLst>
            <c:ext xmlns:c16="http://schemas.microsoft.com/office/drawing/2014/chart" uri="{C3380CC4-5D6E-409C-BE32-E72D297353CC}">
              <c16:uniqueId val="{00000003-7CCE-479B-93B1-C0450B81A712}"/>
            </c:ext>
          </c:extLst>
        </c:ser>
        <c:ser>
          <c:idx val="4"/>
          <c:order val="4"/>
          <c:tx>
            <c:strRef>
              <c:f>'pivot table'!$AC$20</c:f>
              <c:strCache>
                <c:ptCount val="1"/>
                <c:pt idx="0">
                  <c:v> OTHER TAXES</c:v>
                </c:pt>
              </c:strCache>
            </c:strRef>
          </c:tx>
          <c:spPr>
            <a:solidFill>
              <a:schemeClr val="accent5"/>
            </a:solidFill>
            <a:ln>
              <a:noFill/>
            </a:ln>
            <a:effectLst/>
          </c:spPr>
          <c:invertIfNegative val="0"/>
          <c:cat>
            <c:strRef>
              <c:f>'pivot table'!$Y$21</c:f>
              <c:strCache>
                <c:ptCount val="1"/>
                <c:pt idx="0">
                  <c:v>Total</c:v>
                </c:pt>
              </c:strCache>
            </c:strRef>
          </c:cat>
          <c:val>
            <c:numRef>
              <c:f>'pivot table'!$AC$21</c:f>
              <c:numCache>
                <c:formatCode>General</c:formatCode>
                <c:ptCount val="1"/>
                <c:pt idx="0">
                  <c:v>179952121959.25003</c:v>
                </c:pt>
              </c:numCache>
            </c:numRef>
          </c:val>
          <c:extLst>
            <c:ext xmlns:c16="http://schemas.microsoft.com/office/drawing/2014/chart" uri="{C3380CC4-5D6E-409C-BE32-E72D297353CC}">
              <c16:uniqueId val="{00000004-7CCE-479B-93B1-C0450B81A712}"/>
            </c:ext>
          </c:extLst>
        </c:ser>
        <c:ser>
          <c:idx val="5"/>
          <c:order val="5"/>
          <c:tx>
            <c:strRef>
              <c:f>'pivot table'!$AD$20</c:f>
              <c:strCache>
                <c:ptCount val="1"/>
                <c:pt idx="0">
                  <c:v> MDAs REVENUE</c:v>
                </c:pt>
              </c:strCache>
            </c:strRef>
          </c:tx>
          <c:spPr>
            <a:solidFill>
              <a:srgbClr val="92D050"/>
            </a:solidFill>
            <a:ln>
              <a:noFill/>
            </a:ln>
            <a:effectLst/>
          </c:spPr>
          <c:invertIfNegative val="0"/>
          <c:cat>
            <c:strRef>
              <c:f>'pivot table'!$Y$21</c:f>
              <c:strCache>
                <c:ptCount val="1"/>
                <c:pt idx="0">
                  <c:v>Total</c:v>
                </c:pt>
              </c:strCache>
            </c:strRef>
          </c:cat>
          <c:val>
            <c:numRef>
              <c:f>'pivot table'!$AD$21</c:f>
              <c:numCache>
                <c:formatCode>General</c:formatCode>
                <c:ptCount val="1"/>
                <c:pt idx="0">
                  <c:v>455072177190.2901</c:v>
                </c:pt>
              </c:numCache>
            </c:numRef>
          </c:val>
          <c:extLst>
            <c:ext xmlns:c16="http://schemas.microsoft.com/office/drawing/2014/chart" uri="{C3380CC4-5D6E-409C-BE32-E72D297353CC}">
              <c16:uniqueId val="{00000005-7CCE-479B-93B1-C0450B81A712}"/>
            </c:ext>
          </c:extLst>
        </c:ser>
        <c:ser>
          <c:idx val="6"/>
          <c:order val="6"/>
          <c:tx>
            <c:strRef>
              <c:f>'pivot table'!$AE$20</c:f>
              <c:strCache>
                <c:ptCount val="1"/>
                <c:pt idx="0">
                  <c:v> LGA Revenue</c:v>
                </c:pt>
              </c:strCache>
            </c:strRef>
          </c:tx>
          <c:spPr>
            <a:solidFill>
              <a:schemeClr val="accent1">
                <a:lumMod val="60000"/>
              </a:schemeClr>
            </a:solidFill>
            <a:ln>
              <a:noFill/>
            </a:ln>
            <a:effectLst/>
          </c:spPr>
          <c:invertIfNegative val="0"/>
          <c:cat>
            <c:strRef>
              <c:f>'pivot table'!$Y$21</c:f>
              <c:strCache>
                <c:ptCount val="1"/>
                <c:pt idx="0">
                  <c:v>Total</c:v>
                </c:pt>
              </c:strCache>
            </c:strRef>
          </c:cat>
          <c:val>
            <c:numRef>
              <c:f>'pivot table'!$AE$21</c:f>
              <c:numCache>
                <c:formatCode>General</c:formatCode>
                <c:ptCount val="1"/>
                <c:pt idx="0">
                  <c:v>48710221775.270004</c:v>
                </c:pt>
              </c:numCache>
            </c:numRef>
          </c:val>
          <c:extLst>
            <c:ext xmlns:c16="http://schemas.microsoft.com/office/drawing/2014/chart" uri="{C3380CC4-5D6E-409C-BE32-E72D297353CC}">
              <c16:uniqueId val="{00000006-7CCE-479B-93B1-C0450B81A712}"/>
            </c:ext>
          </c:extLst>
        </c:ser>
        <c:ser>
          <c:idx val="7"/>
          <c:order val="7"/>
          <c:tx>
            <c:strRef>
              <c:f>'pivot table'!$AF$20</c:f>
              <c:strCache>
                <c:ptCount val="1"/>
                <c:pt idx="0">
                  <c:v> DIRECT ASSESSMENT</c:v>
                </c:pt>
              </c:strCache>
            </c:strRef>
          </c:tx>
          <c:spPr>
            <a:solidFill>
              <a:schemeClr val="accent3">
                <a:lumMod val="60000"/>
                <a:lumOff val="40000"/>
              </a:schemeClr>
            </a:solidFill>
            <a:ln>
              <a:noFill/>
            </a:ln>
            <a:effectLst/>
          </c:spPr>
          <c:invertIfNegative val="0"/>
          <c:cat>
            <c:strRef>
              <c:f>'pivot table'!$Y$21</c:f>
              <c:strCache>
                <c:ptCount val="1"/>
                <c:pt idx="0">
                  <c:v>Total</c:v>
                </c:pt>
              </c:strCache>
            </c:strRef>
          </c:cat>
          <c:val>
            <c:numRef>
              <c:f>'pivot table'!$AF$21</c:f>
              <c:numCache>
                <c:formatCode>General</c:formatCode>
                <c:ptCount val="1"/>
                <c:pt idx="0">
                  <c:v>52349772646.640007</c:v>
                </c:pt>
              </c:numCache>
            </c:numRef>
          </c:val>
          <c:extLst>
            <c:ext xmlns:c16="http://schemas.microsoft.com/office/drawing/2014/chart" uri="{C3380CC4-5D6E-409C-BE32-E72D297353CC}">
              <c16:uniqueId val="{00000007-7CCE-479B-93B1-C0450B81A712}"/>
            </c:ext>
          </c:extLst>
        </c:ser>
        <c:ser>
          <c:idx val="8"/>
          <c:order val="8"/>
          <c:tx>
            <c:strRef>
              <c:f>'pivot table'!$AG$20</c:f>
              <c:strCache>
                <c:ptCount val="1"/>
                <c:pt idx="0">
                  <c:v> CAPITAL GAIN TAX</c:v>
                </c:pt>
              </c:strCache>
            </c:strRef>
          </c:tx>
          <c:spPr>
            <a:solidFill>
              <a:schemeClr val="accent3">
                <a:lumMod val="60000"/>
              </a:schemeClr>
            </a:solidFill>
            <a:ln>
              <a:noFill/>
            </a:ln>
            <a:effectLst/>
          </c:spPr>
          <c:invertIfNegative val="0"/>
          <c:cat>
            <c:strRef>
              <c:f>'pivot table'!$Y$21</c:f>
              <c:strCache>
                <c:ptCount val="1"/>
                <c:pt idx="0">
                  <c:v>Total</c:v>
                </c:pt>
              </c:strCache>
            </c:strRef>
          </c:cat>
          <c:val>
            <c:numRef>
              <c:f>'pivot table'!$AG$21</c:f>
              <c:numCache>
                <c:formatCode>General</c:formatCode>
                <c:ptCount val="1"/>
                <c:pt idx="0">
                  <c:v>3521439973.769999</c:v>
                </c:pt>
              </c:numCache>
            </c:numRef>
          </c:val>
          <c:extLst>
            <c:ext xmlns:c16="http://schemas.microsoft.com/office/drawing/2014/chart" uri="{C3380CC4-5D6E-409C-BE32-E72D297353CC}">
              <c16:uniqueId val="{00000008-7CCE-479B-93B1-C0450B81A712}"/>
            </c:ext>
          </c:extLst>
        </c:ser>
        <c:dLbls>
          <c:showLegendKey val="0"/>
          <c:showVal val="0"/>
          <c:showCatName val="0"/>
          <c:showSerName val="0"/>
          <c:showPercent val="0"/>
          <c:showBubbleSize val="0"/>
        </c:dLbls>
        <c:gapWidth val="219"/>
        <c:overlap val="-27"/>
        <c:axId val="1340062911"/>
        <c:axId val="1340067487"/>
      </c:barChart>
      <c:catAx>
        <c:axId val="1340062911"/>
        <c:scaling>
          <c:orientation val="minMax"/>
        </c:scaling>
        <c:delete val="1"/>
        <c:axPos val="b"/>
        <c:numFmt formatCode="General" sourceLinked="1"/>
        <c:majorTickMark val="none"/>
        <c:minorTickMark val="none"/>
        <c:tickLblPos val="nextTo"/>
        <c:crossAx val="1340067487"/>
        <c:crossesAt val="1000000"/>
        <c:auto val="1"/>
        <c:lblAlgn val="ctr"/>
        <c:lblOffset val="100"/>
        <c:noMultiLvlLbl val="0"/>
      </c:catAx>
      <c:valAx>
        <c:axId val="1340067487"/>
        <c:scaling>
          <c:orientation val="minMax"/>
          <c:max val="1000000000000"/>
          <c:min val="1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62911"/>
        <c:crosses val="autoZero"/>
        <c:crossBetween val="between"/>
        <c:dispUnits>
          <c:builtInUnit val="hundred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[IGR DATA 2019-2022 (Recovered).xlsx]pivot table!PivotTable2</c:name>
    <c:fmtId val="0"/>
  </c:pivotSource>
  <c:chart>
    <c:autoTitleDeleted val="1"/>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pivotFmt>
    </c:pivotFmts>
    <c:plotArea>
      <c:layout/>
      <c:barChart>
        <c:barDir val="col"/>
        <c:grouping val="clustered"/>
        <c:varyColors val="0"/>
        <c:ser>
          <c:idx val="0"/>
          <c:order val="0"/>
          <c:tx>
            <c:strRef>
              <c:f>'pivot table'!$Z$47</c:f>
              <c:strCache>
                <c:ptCount val="1"/>
                <c:pt idx="0">
                  <c:v>Total</c:v>
                </c:pt>
              </c:strCache>
            </c:strRef>
          </c:tx>
          <c:spPr>
            <a:solidFill>
              <a:schemeClr val="accent3">
                <a:lumMod val="75000"/>
              </a:schemeClr>
            </a:solidFill>
            <a:ln>
              <a:noFill/>
            </a:ln>
            <a:effectLst/>
          </c:spPr>
          <c:invertIfNegative val="0"/>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1-F398-4454-BE02-F61DBE0172CC}"/>
              </c:ext>
            </c:extLst>
          </c:dPt>
          <c:cat>
            <c:strRef>
              <c:f>'pivot table'!$Y$48:$Y$53</c:f>
              <c:strCache>
                <c:ptCount val="5"/>
                <c:pt idx="0">
                  <c:v>KATSINA</c:v>
                </c:pt>
                <c:pt idx="1">
                  <c:v>EBONYI</c:v>
                </c:pt>
                <c:pt idx="2">
                  <c:v>YOBE</c:v>
                </c:pt>
                <c:pt idx="3">
                  <c:v>TARABA</c:v>
                </c:pt>
                <c:pt idx="4">
                  <c:v>KEBBI</c:v>
                </c:pt>
              </c:strCache>
            </c:strRef>
          </c:cat>
          <c:val>
            <c:numRef>
              <c:f>'pivot table'!$Z$48:$Z$53</c:f>
              <c:numCache>
                <c:formatCode>_("₦"* #,##0.00_);_("₦"* \(#,##0.00\);_("₦"* "-"??_);_(@_)</c:formatCode>
                <c:ptCount val="5"/>
                <c:pt idx="0">
                  <c:v>13045383440.230001</c:v>
                </c:pt>
                <c:pt idx="1">
                  <c:v>12426178539.059999</c:v>
                </c:pt>
                <c:pt idx="2">
                  <c:v>10456776796.18</c:v>
                </c:pt>
                <c:pt idx="3">
                  <c:v>10238110125.950001</c:v>
                </c:pt>
                <c:pt idx="4">
                  <c:v>9146249907.8299999</c:v>
                </c:pt>
              </c:numCache>
            </c:numRef>
          </c:val>
          <c:extLst>
            <c:ext xmlns:c16="http://schemas.microsoft.com/office/drawing/2014/chart" uri="{C3380CC4-5D6E-409C-BE32-E72D297353CC}">
              <c16:uniqueId val="{00000000-3202-438D-8E05-26D2B73F007D}"/>
            </c:ext>
          </c:extLst>
        </c:ser>
        <c:dLbls>
          <c:showLegendKey val="0"/>
          <c:showVal val="0"/>
          <c:showCatName val="0"/>
          <c:showSerName val="0"/>
          <c:showPercent val="0"/>
          <c:showBubbleSize val="0"/>
        </c:dLbls>
        <c:gapWidth val="219"/>
        <c:overlap val="-27"/>
        <c:axId val="1511700143"/>
        <c:axId val="1511697647"/>
      </c:barChart>
      <c:catAx>
        <c:axId val="151170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697647"/>
        <c:crosses val="autoZero"/>
        <c:auto val="1"/>
        <c:lblAlgn val="ctr"/>
        <c:lblOffset val="100"/>
        <c:noMultiLvlLbl val="0"/>
      </c:catAx>
      <c:valAx>
        <c:axId val="151169764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700143"/>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31749</xdr:colOff>
      <xdr:row>0</xdr:row>
      <xdr:rowOff>1</xdr:rowOff>
    </xdr:from>
    <xdr:to>
      <xdr:col>33</xdr:col>
      <xdr:colOff>95249</xdr:colOff>
      <xdr:row>8</xdr:row>
      <xdr:rowOff>47625</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31749" y="1"/>
          <a:ext cx="17875250" cy="1349374"/>
        </a:xfrm>
        <a:prstGeom prst="rect">
          <a:avLst/>
        </a:prstGeom>
        <a:solidFill>
          <a:schemeClr val="accent3"/>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lvl="0" algn="l"/>
          <a:r>
            <a:rPr lang="en-US" sz="4000">
              <a:latin typeface="Engravers MT" panose="02090707080505020304" pitchFamily="18" charset="0"/>
            </a:rPr>
            <a:t>                             2022 nigerian INTERNAL</a:t>
          </a:r>
          <a:r>
            <a:rPr lang="en-US" sz="4000" baseline="0">
              <a:latin typeface="Engravers MT" panose="02090707080505020304" pitchFamily="18" charset="0"/>
            </a:rPr>
            <a:t> </a:t>
          </a:r>
          <a:r>
            <a:rPr lang="en-US" sz="4000">
              <a:latin typeface="Engravers MT" panose="02090707080505020304" pitchFamily="18" charset="0"/>
            </a:rPr>
            <a:t>revenue </a:t>
          </a:r>
        </a:p>
        <a:p>
          <a:pPr lvl="0" algn="l"/>
          <a:r>
            <a:rPr lang="en-US" sz="4000" baseline="0">
              <a:latin typeface="Engravers MT" panose="02090707080505020304" pitchFamily="18" charset="0"/>
            </a:rPr>
            <a:t>                                       </a:t>
          </a:r>
          <a:r>
            <a:rPr lang="en-US" sz="4000">
              <a:latin typeface="Engravers MT" panose="02090707080505020304" pitchFamily="18" charset="0"/>
            </a:rPr>
            <a:t> dashboard                                                                                                    </a:t>
          </a:r>
        </a:p>
      </xdr:txBody>
    </xdr:sp>
    <xdr:clientData/>
  </xdr:twoCellAnchor>
  <xdr:twoCellAnchor editAs="oneCell">
    <xdr:from>
      <xdr:col>0</xdr:col>
      <xdr:colOff>343906</xdr:colOff>
      <xdr:row>0</xdr:row>
      <xdr:rowOff>56696</xdr:rowOff>
    </xdr:from>
    <xdr:to>
      <xdr:col>6</xdr:col>
      <xdr:colOff>384278</xdr:colOff>
      <xdr:row>7</xdr:row>
      <xdr:rowOff>47625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3906" y="56696"/>
          <a:ext cx="3278872" cy="1133929"/>
        </a:xfrm>
        <a:prstGeom prst="rect">
          <a:avLst/>
        </a:prstGeom>
      </xdr:spPr>
    </xdr:pic>
    <xdr:clientData/>
  </xdr:twoCellAnchor>
  <xdr:twoCellAnchor>
    <xdr:from>
      <xdr:col>0</xdr:col>
      <xdr:colOff>154216</xdr:colOff>
      <xdr:row>15</xdr:row>
      <xdr:rowOff>47624</xdr:rowOff>
    </xdr:from>
    <xdr:to>
      <xdr:col>32</xdr:col>
      <xdr:colOff>492125</xdr:colOff>
      <xdr:row>30</xdr:row>
      <xdr:rowOff>27213</xdr:rowOff>
    </xdr:to>
    <xdr:sp macro="" textlink="">
      <xdr:nvSpPr>
        <xdr:cNvPr id="19" name="Rectangle 18">
          <a:extLst>
            <a:ext uri="{FF2B5EF4-FFF2-40B4-BE49-F238E27FC236}">
              <a16:creationId xmlns:a16="http://schemas.microsoft.com/office/drawing/2014/main" id="{00000000-0008-0000-0100-000013000000}"/>
            </a:ext>
          </a:extLst>
        </xdr:cNvPr>
        <xdr:cNvSpPr/>
      </xdr:nvSpPr>
      <xdr:spPr>
        <a:xfrm>
          <a:off x="154216" y="2460624"/>
          <a:ext cx="17609909" cy="2360839"/>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0</xdr:col>
      <xdr:colOff>127000</xdr:colOff>
      <xdr:row>47</xdr:row>
      <xdr:rowOff>90714</xdr:rowOff>
    </xdr:from>
    <xdr:to>
      <xdr:col>32</xdr:col>
      <xdr:colOff>446767</xdr:colOff>
      <xdr:row>63</xdr:row>
      <xdr:rowOff>9072</xdr:rowOff>
    </xdr:to>
    <xdr:sp macro="" textlink="">
      <xdr:nvSpPr>
        <xdr:cNvPr id="28" name="Rectangle 27">
          <a:extLst>
            <a:ext uri="{FF2B5EF4-FFF2-40B4-BE49-F238E27FC236}">
              <a16:creationId xmlns:a16="http://schemas.microsoft.com/office/drawing/2014/main" id="{00000000-0008-0000-0100-00001C000000}"/>
            </a:ext>
          </a:extLst>
        </xdr:cNvPr>
        <xdr:cNvSpPr/>
      </xdr:nvSpPr>
      <xdr:spPr>
        <a:xfrm>
          <a:off x="127000" y="7758339"/>
          <a:ext cx="17591767" cy="2458358"/>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30</xdr:row>
      <xdr:rowOff>70304</xdr:rowOff>
    </xdr:from>
    <xdr:to>
      <xdr:col>18</xdr:col>
      <xdr:colOff>460375</xdr:colOff>
      <xdr:row>47</xdr:row>
      <xdr:rowOff>63501</xdr:rowOff>
    </xdr:to>
    <xdr:sp macro="" textlink="">
      <xdr:nvSpPr>
        <xdr:cNvPr id="30" name="Rectangle 29">
          <a:extLst>
            <a:ext uri="{FF2B5EF4-FFF2-40B4-BE49-F238E27FC236}">
              <a16:creationId xmlns:a16="http://schemas.microsoft.com/office/drawing/2014/main" id="{00000000-0008-0000-0100-00001E000000}"/>
            </a:ext>
          </a:extLst>
        </xdr:cNvPr>
        <xdr:cNvSpPr/>
      </xdr:nvSpPr>
      <xdr:spPr>
        <a:xfrm>
          <a:off x="142875" y="4864554"/>
          <a:ext cx="10033000" cy="2866572"/>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47</xdr:row>
      <xdr:rowOff>111124</xdr:rowOff>
    </xdr:from>
    <xdr:to>
      <xdr:col>32</xdr:col>
      <xdr:colOff>435428</xdr:colOff>
      <xdr:row>62</xdr:row>
      <xdr:rowOff>126999</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48760</xdr:colOff>
      <xdr:row>63</xdr:row>
      <xdr:rowOff>48759</xdr:rowOff>
    </xdr:from>
    <xdr:to>
      <xdr:col>33</xdr:col>
      <xdr:colOff>79376</xdr:colOff>
      <xdr:row>65</xdr:row>
      <xdr:rowOff>31751</xdr:rowOff>
    </xdr:to>
    <xdr:sp macro="" textlink="">
      <xdr:nvSpPr>
        <xdr:cNvPr id="43" name="Rectangle 42">
          <a:extLst>
            <a:ext uri="{FF2B5EF4-FFF2-40B4-BE49-F238E27FC236}">
              <a16:creationId xmlns:a16="http://schemas.microsoft.com/office/drawing/2014/main" id="{00000000-0008-0000-0100-00002B000000}"/>
            </a:ext>
          </a:extLst>
        </xdr:cNvPr>
        <xdr:cNvSpPr/>
      </xdr:nvSpPr>
      <xdr:spPr>
        <a:xfrm>
          <a:off x="48760" y="10256384"/>
          <a:ext cx="17842366" cy="300492"/>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7</xdr:row>
      <xdr:rowOff>31750</xdr:rowOff>
    </xdr:from>
    <xdr:to>
      <xdr:col>0</xdr:col>
      <xdr:colOff>111125</xdr:colOff>
      <xdr:row>64</xdr:row>
      <xdr:rowOff>111125</xdr:rowOff>
    </xdr:to>
    <xdr:sp macro="" textlink="">
      <xdr:nvSpPr>
        <xdr:cNvPr id="44" name="Rectangle 43">
          <a:extLst>
            <a:ext uri="{FF2B5EF4-FFF2-40B4-BE49-F238E27FC236}">
              <a16:creationId xmlns:a16="http://schemas.microsoft.com/office/drawing/2014/main" id="{00000000-0008-0000-0100-00002C000000}"/>
            </a:ext>
          </a:extLst>
        </xdr:cNvPr>
        <xdr:cNvSpPr/>
      </xdr:nvSpPr>
      <xdr:spPr>
        <a:xfrm>
          <a:off x="0" y="1174750"/>
          <a:ext cx="111125" cy="9302750"/>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476249</xdr:colOff>
      <xdr:row>8</xdr:row>
      <xdr:rowOff>0</xdr:rowOff>
    </xdr:from>
    <xdr:to>
      <xdr:col>33</xdr:col>
      <xdr:colOff>95247</xdr:colOff>
      <xdr:row>63</xdr:row>
      <xdr:rowOff>79374</xdr:rowOff>
    </xdr:to>
    <xdr:sp macro="" textlink="">
      <xdr:nvSpPr>
        <xdr:cNvPr id="45" name="Rectangle 44">
          <a:extLst>
            <a:ext uri="{FF2B5EF4-FFF2-40B4-BE49-F238E27FC236}">
              <a16:creationId xmlns:a16="http://schemas.microsoft.com/office/drawing/2014/main" id="{00000000-0008-0000-0100-00002D000000}"/>
            </a:ext>
          </a:extLst>
        </xdr:cNvPr>
        <xdr:cNvSpPr/>
      </xdr:nvSpPr>
      <xdr:spPr>
        <a:xfrm flipH="1">
          <a:off x="17748249" y="1301750"/>
          <a:ext cx="158748" cy="8985249"/>
        </a:xfrm>
        <a:prstGeom prst="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158750</xdr:colOff>
      <xdr:row>15</xdr:row>
      <xdr:rowOff>63500</xdr:rowOff>
    </xdr:from>
    <xdr:to>
      <xdr:col>32</xdr:col>
      <xdr:colOff>396875</xdr:colOff>
      <xdr:row>29</xdr:row>
      <xdr:rowOff>111125</xdr:rowOff>
    </xdr:to>
    <xdr:graphicFrame macro="">
      <xdr:nvGraphicFramePr>
        <xdr:cNvPr id="27" name="Chart 26">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127000</xdr:colOff>
      <xdr:row>30</xdr:row>
      <xdr:rowOff>79374</xdr:rowOff>
    </xdr:from>
    <xdr:to>
      <xdr:col>18</xdr:col>
      <xdr:colOff>412750</xdr:colOff>
      <xdr:row>46</xdr:row>
      <xdr:rowOff>127000</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476250</xdr:colOff>
      <xdr:row>30</xdr:row>
      <xdr:rowOff>63500</xdr:rowOff>
    </xdr:from>
    <xdr:to>
      <xdr:col>32</xdr:col>
      <xdr:colOff>467179</xdr:colOff>
      <xdr:row>47</xdr:row>
      <xdr:rowOff>117929</xdr:rowOff>
    </xdr:to>
    <xdr:graphicFrame macro="">
      <xdr:nvGraphicFramePr>
        <xdr:cNvPr id="36" name="Chart 35">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206375</xdr:colOff>
      <xdr:row>47</xdr:row>
      <xdr:rowOff>142875</xdr:rowOff>
    </xdr:from>
    <xdr:to>
      <xdr:col>18</xdr:col>
      <xdr:colOff>460375</xdr:colOff>
      <xdr:row>62</xdr:row>
      <xdr:rowOff>111126</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428626</xdr:colOff>
      <xdr:row>47</xdr:row>
      <xdr:rowOff>127000</xdr:rowOff>
    </xdr:from>
    <xdr:to>
      <xdr:col>32</xdr:col>
      <xdr:colOff>449038</xdr:colOff>
      <xdr:row>63</xdr:row>
      <xdr:rowOff>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9</xdr:row>
      <xdr:rowOff>31749</xdr:rowOff>
    </xdr:from>
    <xdr:to>
      <xdr:col>8</xdr:col>
      <xdr:colOff>301625</xdr:colOff>
      <xdr:row>15</xdr:row>
      <xdr:rowOff>15874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444500" y="1492249"/>
          <a:ext cx="4175125" cy="936625"/>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i="0" u="none" strike="noStrike">
              <a:solidFill>
                <a:schemeClr val="dk1"/>
              </a:solidFill>
              <a:effectLst/>
              <a:latin typeface="+mn-lt"/>
              <a:ea typeface="+mn-ea"/>
              <a:cs typeface="+mn-cs"/>
            </a:rPr>
            <a:t> </a:t>
          </a:r>
          <a:r>
            <a:rPr lang="en-US" sz="2800" b="0" i="0" u="none" strike="noStrike">
              <a:solidFill>
                <a:schemeClr val="bg1"/>
              </a:solidFill>
              <a:effectLst/>
              <a:latin typeface="+mn-lt"/>
              <a:ea typeface="+mn-ea"/>
              <a:cs typeface="+mn-cs"/>
            </a:rPr>
            <a:t>TOTAL</a:t>
          </a:r>
          <a:r>
            <a:rPr lang="en-US" sz="2800" b="0" i="0" u="none" strike="noStrike" baseline="0">
              <a:solidFill>
                <a:schemeClr val="bg1"/>
              </a:solidFill>
              <a:effectLst/>
              <a:latin typeface="+mn-lt"/>
              <a:ea typeface="+mn-ea"/>
              <a:cs typeface="+mn-cs"/>
            </a:rPr>
            <a:t> REVENUE</a:t>
          </a:r>
          <a:r>
            <a:rPr lang="en-US" sz="2800" b="0" i="0" u="none" strike="noStrike">
              <a:solidFill>
                <a:schemeClr val="bg1"/>
              </a:solidFill>
              <a:effectLst/>
              <a:latin typeface="+mn-lt"/>
              <a:ea typeface="+mn-ea"/>
              <a:cs typeface="+mn-cs"/>
            </a:rPr>
            <a:t> :                </a:t>
          </a:r>
          <a:r>
            <a:rPr lang="en-US" sz="1100" b="1" i="0" u="none" strike="noStrike">
              <a:solidFill>
                <a:schemeClr val="dk1"/>
              </a:solidFill>
              <a:effectLst/>
              <a:latin typeface="+mn-lt"/>
              <a:ea typeface="+mn-ea"/>
              <a:cs typeface="+mn-cs"/>
            </a:rPr>
            <a:t> </a:t>
          </a:r>
          <a:r>
            <a:rPr lang="en-US" sz="2400" b="1" i="0" u="none" strike="noStrike">
              <a:solidFill>
                <a:schemeClr val="dk1"/>
              </a:solidFill>
              <a:effectLst/>
              <a:latin typeface="+mn-lt"/>
              <a:ea typeface="+mn-ea"/>
              <a:cs typeface="+mn-cs"/>
            </a:rPr>
            <a:t>₦   1,925,612,626,650.76 </a:t>
          </a:r>
          <a:endParaRPr lang="en-US" sz="2400"/>
        </a:p>
      </xdr:txBody>
    </xdr:sp>
    <xdr:clientData/>
  </xdr:twoCellAnchor>
  <xdr:twoCellAnchor>
    <xdr:from>
      <xdr:col>9</xdr:col>
      <xdr:colOff>307973</xdr:colOff>
      <xdr:row>9</xdr:row>
      <xdr:rowOff>47626</xdr:rowOff>
    </xdr:from>
    <xdr:to>
      <xdr:col>16</xdr:col>
      <xdr:colOff>0</xdr:colOff>
      <xdr:row>15</xdr:row>
      <xdr:rowOff>31750</xdr:rowOff>
    </xdr:to>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5165723" y="1508126"/>
          <a:ext cx="3470277" cy="936624"/>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TOTAL PAYE</a:t>
          </a:r>
          <a:r>
            <a:rPr lang="en-US" sz="1800">
              <a:solidFill>
                <a:schemeClr val="bg1"/>
              </a:solidFill>
            </a:rPr>
            <a:t>:</a:t>
          </a:r>
          <a:r>
            <a:rPr lang="en-US" sz="1100" b="1" i="0" u="none" strike="noStrike">
              <a:solidFill>
                <a:schemeClr val="dk1"/>
              </a:solidFill>
              <a:effectLst/>
              <a:latin typeface="+mn-lt"/>
              <a:ea typeface="+mn-ea"/>
              <a:cs typeface="+mn-cs"/>
            </a:rPr>
            <a:t>                                                                      </a:t>
          </a:r>
          <a:r>
            <a:rPr lang="en-US" sz="2400" b="1" i="0" u="none" strike="noStrike">
              <a:solidFill>
                <a:schemeClr val="dk1"/>
              </a:solidFill>
              <a:effectLst/>
              <a:latin typeface="+mn-lt"/>
              <a:ea typeface="+mn-ea"/>
              <a:cs typeface="+mn-cs"/>
            </a:rPr>
            <a:t>₦  994,404,455,858.06 </a:t>
          </a:r>
          <a:endParaRPr lang="en-US" sz="2400">
            <a:solidFill>
              <a:schemeClr val="bg1"/>
            </a:solidFill>
          </a:endParaRPr>
        </a:p>
      </xdr:txBody>
    </xdr:sp>
    <xdr:clientData/>
  </xdr:twoCellAnchor>
  <xdr:twoCellAnchor>
    <xdr:from>
      <xdr:col>17</xdr:col>
      <xdr:colOff>301625</xdr:colOff>
      <xdr:row>9</xdr:row>
      <xdr:rowOff>63500</xdr:rowOff>
    </xdr:from>
    <xdr:to>
      <xdr:col>24</xdr:col>
      <xdr:colOff>79375</xdr:colOff>
      <xdr:row>15</xdr:row>
      <xdr:rowOff>15875</xdr:rowOff>
    </xdr:to>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9477375" y="1524000"/>
          <a:ext cx="3556000" cy="904875"/>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TOTAL TAX:</a:t>
          </a:r>
          <a:r>
            <a:rPr lang="en-US" sz="1100" b="1" i="0" u="none" strike="noStrike">
              <a:solidFill>
                <a:schemeClr val="dk1"/>
              </a:solidFill>
              <a:effectLst/>
              <a:latin typeface="+mn-lt"/>
              <a:ea typeface="+mn-ea"/>
              <a:cs typeface="+mn-cs"/>
            </a:rPr>
            <a:t>                                                                                                          </a:t>
          </a:r>
          <a:r>
            <a:rPr lang="en-US" sz="2400" b="1" i="0" u="none" strike="noStrike">
              <a:solidFill>
                <a:schemeClr val="dk1"/>
              </a:solidFill>
              <a:effectLst/>
              <a:latin typeface="+mn-lt"/>
              <a:ea typeface="+mn-ea"/>
              <a:cs typeface="+mn-cs"/>
            </a:rPr>
            <a:t>₦  945,667,424,575.99 </a:t>
          </a:r>
          <a:endParaRPr lang="en-US" sz="2400">
            <a:solidFill>
              <a:schemeClr val="bg1"/>
            </a:solidFill>
          </a:endParaRPr>
        </a:p>
      </xdr:txBody>
    </xdr:sp>
    <xdr:clientData/>
  </xdr:twoCellAnchor>
  <xdr:twoCellAnchor>
    <xdr:from>
      <xdr:col>25</xdr:col>
      <xdr:colOff>206375</xdr:colOff>
      <xdr:row>9</xdr:row>
      <xdr:rowOff>47625</xdr:rowOff>
    </xdr:from>
    <xdr:to>
      <xdr:col>31</xdr:col>
      <xdr:colOff>428625</xdr:colOff>
      <xdr:row>15</xdr:row>
      <xdr:rowOff>15875</xdr:rowOff>
    </xdr:to>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3700125" y="1508125"/>
          <a:ext cx="3460750" cy="92075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TOTAL LGA REVENUE</a:t>
          </a:r>
          <a:r>
            <a:rPr lang="en-US" sz="2400">
              <a:solidFill>
                <a:schemeClr val="bg1"/>
              </a:solidFill>
            </a:rPr>
            <a:t>:</a:t>
          </a:r>
          <a:r>
            <a:rPr lang="en-US" sz="2400" b="1" i="0" u="none" strike="noStrike">
              <a:solidFill>
                <a:schemeClr val="dk1"/>
              </a:solidFill>
              <a:effectLst/>
              <a:latin typeface="+mn-lt"/>
              <a:ea typeface="+mn-ea"/>
              <a:cs typeface="+mn-cs"/>
            </a:rPr>
            <a:t>             ₦  48,710,221,775.27 </a:t>
          </a:r>
          <a:endParaRPr lang="en-US" sz="24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100012</xdr:colOff>
      <xdr:row>1</xdr:row>
      <xdr:rowOff>90487</xdr:rowOff>
    </xdr:from>
    <xdr:to>
      <xdr:col>10</xdr:col>
      <xdr:colOff>404812</xdr:colOff>
      <xdr:row>18</xdr:row>
      <xdr:rowOff>80962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500062</xdr:colOff>
      <xdr:row>20</xdr:row>
      <xdr:rowOff>23812</xdr:rowOff>
    </xdr:from>
    <xdr:to>
      <xdr:col>11</xdr:col>
      <xdr:colOff>1711462</xdr:colOff>
      <xdr:row>37</xdr:row>
      <xdr:rowOff>25162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1433512</xdr:colOff>
      <xdr:row>32</xdr:row>
      <xdr:rowOff>14287</xdr:rowOff>
    </xdr:from>
    <xdr:to>
      <xdr:col>23</xdr:col>
      <xdr:colOff>71437</xdr:colOff>
      <xdr:row>48</xdr:row>
      <xdr:rowOff>4762</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938210</xdr:colOff>
      <xdr:row>25</xdr:row>
      <xdr:rowOff>128587</xdr:rowOff>
    </xdr:from>
    <xdr:to>
      <xdr:col>46</xdr:col>
      <xdr:colOff>371474</xdr:colOff>
      <xdr:row>39</xdr:row>
      <xdr:rowOff>152400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285750</xdr:colOff>
      <xdr:row>3</xdr:row>
      <xdr:rowOff>133350</xdr:rowOff>
    </xdr:from>
    <xdr:to>
      <xdr:col>15</xdr:col>
      <xdr:colOff>1581150</xdr:colOff>
      <xdr:row>17</xdr:row>
      <xdr:rowOff>104775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944475" y="619125"/>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461962</xdr:colOff>
      <xdr:row>22</xdr:row>
      <xdr:rowOff>157162</xdr:rowOff>
    </xdr:from>
    <xdr:to>
      <xdr:col>31</xdr:col>
      <xdr:colOff>661987</xdr:colOff>
      <xdr:row>38</xdr:row>
      <xdr:rowOff>147637</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1214437</xdr:colOff>
      <xdr:row>39</xdr:row>
      <xdr:rowOff>157162</xdr:rowOff>
    </xdr:from>
    <xdr:to>
      <xdr:col>30</xdr:col>
      <xdr:colOff>785812</xdr:colOff>
      <xdr:row>56</xdr:row>
      <xdr:rowOff>147637</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he Jephthah" refreshedDate="45244.725326851854" createdVersion="6" refreshedVersion="6" minRefreshableVersion="3" recordCount="37" xr:uid="{00000000-000A-0000-FFFF-FFFF00000000}">
  <cacheSource type="worksheet">
    <worksheetSource name="Table3"/>
  </cacheSource>
  <cacheFields count="13">
    <cacheField name="SNo" numFmtId="0">
      <sharedItems containsSemiMixedTypes="0" containsString="0" containsNumber="1" containsInteger="1" minValue="1" maxValue="37"/>
    </cacheField>
    <cacheField name="STATE" numFmtId="0">
      <sharedItems count="37">
        <s v="LAGOS"/>
        <s v="RIVERS"/>
        <s v="FEDERAL CAPITAL TERRITORY"/>
        <s v="OGUN"/>
        <s v="DELTA"/>
        <s v="OYO"/>
        <s v="KADUNA"/>
        <s v="EDO"/>
        <s v="KANO"/>
        <s v="KWARA"/>
        <s v="AKWA IBOM"/>
        <s v="ANAMBRA"/>
        <s v="ONDO"/>
        <s v="ENUGU"/>
        <s v="BAUCHI"/>
        <s v="SOKOTO"/>
        <s v="OSUN"/>
        <s v="CROSS RIVER"/>
        <s v="JIGAWA"/>
        <s v="ABIA"/>
        <s v="ZAMFARA"/>
        <s v="IMO"/>
        <s v="NASSARAWA"/>
        <s v="BORNO"/>
        <s v="KOGI"/>
        <s v="EKITI"/>
        <s v="NIGER"/>
        <s v="BENUE"/>
        <s v="PLATEAU"/>
        <s v="BAYELSA"/>
        <s v="GOMBE"/>
        <s v="ADAMAWA"/>
        <s v="KATSINA"/>
        <s v="EBONYI"/>
        <s v="YOBE"/>
        <s v="TARABA"/>
        <s v="KEBBI"/>
      </sharedItems>
    </cacheField>
    <cacheField name="TOTAL TAX" numFmtId="164">
      <sharedItems containsSemiMixedTypes="0" containsString="0" containsNumber="1" minValue="6488276501.3100004" maxValue="524873024884.47998"/>
    </cacheField>
    <cacheField name="MDAs REVENUE" numFmtId="0">
      <sharedItems containsSemiMixedTypes="0" containsString="0" containsNumber="1" minValue="0" maxValue="126272608200.82001"/>
    </cacheField>
    <cacheField name="TOTAL" numFmtId="0">
      <sharedItems containsSemiMixedTypes="0" containsString="0" containsNumber="1" minValue="9146249907.8299999" maxValue="651145633085.30005" count="37">
        <n v="651145633085.30005"/>
        <n v="172823232535.44"/>
        <n v="124366774519.25"/>
        <n v="120584157140.78"/>
        <n v="85901607747.299988"/>
        <n v="62246150460.359993"/>
        <n v="58094591085.910004"/>
        <n v="47458128071.159996"/>
        <n v="42509911699.940002"/>
        <n v="35756949370.010002"/>
        <n v="34812381023.949997"/>
        <n v="33971393160.729996"/>
        <n v="32640660900.25"/>
        <n v="28691843017.5"/>
        <n v="25471119111.310001"/>
        <n v="23617172198.73"/>
        <n v="24605340053.839996"/>
        <n v="21098947831.940002"/>
        <n v="20549414387.490002"/>
        <n v="20108232055.980003"/>
        <n v="19439732224.09"/>
        <n v="19337136489.82"/>
        <n v="19277607937.43"/>
        <n v="19061946487.099998"/>
        <n v="18214434263.830002"/>
        <n v="17029726605.18"/>
        <n v="16930259572.869997"/>
        <n v="15952846966.359999"/>
        <n v="15927001738.990002"/>
        <n v="15902659947.629997"/>
        <n v="13597161181.51"/>
        <n v="13175774969.529999"/>
        <n v="13045383440.230001"/>
        <n v="12426178539.059999"/>
        <n v="10456776796.18"/>
        <n v="10238110125.950001"/>
        <n v="9146249907.8299999"/>
      </sharedItems>
    </cacheField>
    <cacheField name="PAYE" numFmtId="44">
      <sharedItems containsSemiMixedTypes="0" containsString="0" containsNumber="1" minValue="4517156290.8800001" maxValue="360925647831.62"/>
    </cacheField>
    <cacheField name="DIRECT ASSESSMENT" numFmtId="44">
      <sharedItems containsSemiMixedTypes="0" containsString="0" containsNumber="1" minValue="20913942.870000001" maxValue="27091947848.849998"/>
    </cacheField>
    <cacheField name="ROAD TAXES" numFmtId="44">
      <sharedItems containsSemiMixedTypes="0" containsString="0" containsNumber="1" minValue="0" maxValue="3256740495.3600001"/>
    </cacheField>
    <cacheField name="STAMP DUTIES" numFmtId="44">
      <sharedItems containsSemiMixedTypes="0" containsString="0" containsNumber="1" minValue="0" maxValue="12143969452.190001"/>
    </cacheField>
    <cacheField name="CAPITAL GAIN TAX" numFmtId="44">
      <sharedItems containsSemiMixedTypes="0" containsString="0" containsNumber="1" minValue="0" maxValue="1728065095.6700001"/>
    </cacheField>
    <cacheField name="WITHHOLDING TAX" numFmtId="44">
      <sharedItems containsSemiMixedTypes="0" containsString="0" containsNumber="1" minValue="0" maxValue="86288227072.210007"/>
    </cacheField>
    <cacheField name="OTHER TAXES" numFmtId="44">
      <sharedItems containsSemiMixedTypes="0" containsString="0" containsNumber="1" minValue="35227810.770000003" maxValue="29709414904.009998"/>
    </cacheField>
    <cacheField name="LGA Revenue" numFmtId="44">
      <sharedItems containsSemiMixedTypes="0" containsString="0" containsNumber="1" minValue="0" maxValue="11832437020.3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7">
  <r>
    <n v="1"/>
    <x v="0"/>
    <n v="524873024884.47998"/>
    <n v="126272608200.82001"/>
    <x v="0"/>
    <n v="360925647831.62"/>
    <n v="27091947848.849998"/>
    <n v="0"/>
    <n v="12143969452.190001"/>
    <n v="1728065095.6700001"/>
    <n v="86288227072.210007"/>
    <n v="25189581300.59"/>
    <n v="11505586283.35"/>
  </r>
  <r>
    <n v="2"/>
    <x v="1"/>
    <n v="153562844055.14999"/>
    <n v="19260388480.290001"/>
    <x v="1"/>
    <n v="113020413712.28"/>
    <n v="804920896.83000004"/>
    <n v="223927585.5"/>
    <n v="189255815.96000001"/>
    <n v="508374172.91000003"/>
    <n v="6630466192.0100002"/>
    <n v="29709414904.009998"/>
    <n v="2476070775.6500001"/>
  </r>
  <r>
    <n v="3"/>
    <x v="2"/>
    <n v="124366774519.25"/>
    <n v="0"/>
    <x v="2"/>
    <n v="84732502035.979996"/>
    <n v="4033514701.2199998"/>
    <n v="0"/>
    <n v="34916415.090000004"/>
    <n v="114455464.63"/>
    <n v="8871447120.7099991"/>
    <n v="26579938781.619999"/>
    <n v="0"/>
  </r>
  <r>
    <n v="4"/>
    <x v="3"/>
    <n v="53312177070.880005"/>
    <n v="67271980069.900002"/>
    <x v="3"/>
    <n v="32873760392.389999"/>
    <n v="2686203497.6900001"/>
    <n v="1823645291.96"/>
    <n v="780022565.08000004"/>
    <n v="67361524.409999996"/>
    <n v="3814336676.9499998"/>
    <n v="9926840441.2900009"/>
    <n v="1340006681.1099999"/>
  </r>
  <r>
    <n v="5"/>
    <x v="4"/>
    <n v="71495446090.549988"/>
    <n v="14406161656.75"/>
    <x v="4"/>
    <n v="55561975759.089996"/>
    <n v="621640341.77999997"/>
    <n v="2475132019.4400001"/>
    <n v="1886707994.6400001"/>
    <n v="2687199.68"/>
    <n v="8430780230.9300003"/>
    <n v="655591074.28999996"/>
    <n v="1860931470.7"/>
  </r>
  <r>
    <n v="6"/>
    <x v="5"/>
    <n v="45321456990.729996"/>
    <n v="16924693469.629999"/>
    <x v="5"/>
    <n v="26912170641.889999"/>
    <n v="1035743520.11"/>
    <n v="960588770.84000003"/>
    <n v="180812298.03"/>
    <n v="133776220.8"/>
    <n v="2781155855.27"/>
    <n v="1484772663.46"/>
    <n v="11832437020.33"/>
  </r>
  <r>
    <n v="7"/>
    <x v="6"/>
    <n v="34517325183.779999"/>
    <n v="23577265902.130001"/>
    <x v="6"/>
    <n v="18598725523.490002"/>
    <n v="383057551"/>
    <n v="833675576.29999995"/>
    <n v="2972758680.79"/>
    <n v="13572118.359999999"/>
    <n v="1759210763.3499999"/>
    <n v="9956324970.4899998"/>
    <n v="0"/>
  </r>
  <r>
    <n v="8"/>
    <x v="7"/>
    <n v="32968052908.219994"/>
    <n v="14490075162.940001"/>
    <x v="7"/>
    <n v="17530732444.369999"/>
    <n v="2256151605.46"/>
    <n v="1413651759.03"/>
    <n v="107166748.84999999"/>
    <n v="66376013.490000002"/>
    <n v="3003111862.25"/>
    <n v="6195321841.7399998"/>
    <n v="2395540633.0300002"/>
  </r>
  <r>
    <n v="9"/>
    <x v="8"/>
    <n v="30187194255.580002"/>
    <n v="12322717444.360001"/>
    <x v="8"/>
    <n v="16113478614.940001"/>
    <n v="1070097791.47"/>
    <n v="941236007"/>
    <n v="2352990350"/>
    <n v="30614059.23"/>
    <n v="1887679563.73"/>
    <n v="6970338111.8100004"/>
    <n v="820759757.39999998"/>
  </r>
  <r>
    <n v="10"/>
    <x v="9"/>
    <n v="14514377776.719999"/>
    <n v="21242571593.290001"/>
    <x v="9"/>
    <n v="9935712852.0599995"/>
    <n v="377407248.77999997"/>
    <n v="661226070.5"/>
    <n v="1326038820.73"/>
    <n v="33123438.329999998"/>
    <n v="980493898.54999995"/>
    <n v="889272134.91999996"/>
    <n v="311103312.85000002"/>
  </r>
  <r>
    <n v="11"/>
    <x v="10"/>
    <n v="24958421704.860001"/>
    <n v="9853959319.0900002"/>
    <x v="10"/>
    <n v="21538355834.860001"/>
    <n v="129112349.8"/>
    <n v="471203241.12"/>
    <n v="116696959.27"/>
    <n v="0"/>
    <n v="968262399.45000005"/>
    <n v="1679562090"/>
    <n v="55228830.359999999"/>
  </r>
  <r>
    <n v="12"/>
    <x v="11"/>
    <n v="20285352101.379997"/>
    <n v="13686041059.35"/>
    <x v="11"/>
    <n v="14345756231.059999"/>
    <n v="815591975.52999997"/>
    <n v="942907037"/>
    <n v="642402678.65999997"/>
    <n v="70169415.239999995"/>
    <n v="2216513046.27"/>
    <n v="1097621487.6199999"/>
    <n v="154390230"/>
  </r>
  <r>
    <n v="13"/>
    <x v="12"/>
    <n v="27673995607.350002"/>
    <n v="4966665292.8999996"/>
    <x v="12"/>
    <n v="14904146244.68"/>
    <n v="795625960.77999997"/>
    <n v="1824012142.99"/>
    <n v="2349383174.3000002"/>
    <n v="55267880"/>
    <n v="1202539976.7"/>
    <n v="6175998139.6099997"/>
    <n v="367022088.29000002"/>
  </r>
  <r>
    <n v="14"/>
    <x v="13"/>
    <n v="17224732379.220001"/>
    <n v="11467110638.280001"/>
    <x v="13"/>
    <n v="12891843413.530001"/>
    <n v="138970276.27000001"/>
    <n v="1096883538.4000001"/>
    <n v="0"/>
    <n v="0"/>
    <n v="0"/>
    <n v="2020943901.23"/>
    <n v="1076091249.79"/>
  </r>
  <r>
    <n v="15"/>
    <x v="14"/>
    <n v="16673958503.980001"/>
    <n v="8797160607.3299999"/>
    <x v="14"/>
    <n v="14552931748.35"/>
    <n v="490914816.76999998"/>
    <n v="296870925"/>
    <n v="0"/>
    <n v="0"/>
    <n v="0"/>
    <n v="1096121585.95"/>
    <n v="237119427.91"/>
  </r>
  <r>
    <n v="16"/>
    <x v="15"/>
    <n v="18230409246.73"/>
    <n v="5386762952"/>
    <x v="15"/>
    <n v="12244494211.27"/>
    <n v="154087508.38999999"/>
    <n v="137837704.86000001"/>
    <n v="1910468.63"/>
    <n v="250110"/>
    <n v="258489860.86000001"/>
    <n v="5433339382.7200003"/>
    <n v="0"/>
  </r>
  <r>
    <n v="17"/>
    <x v="16"/>
    <n v="12658717444.469997"/>
    <n v="11946622609.370001"/>
    <x v="16"/>
    <n v="10420984941.73"/>
    <n v="208437952.65000001"/>
    <n v="445241550.99000001"/>
    <n v="54380244.659999996"/>
    <n v="6117338"/>
    <n v="933235435.72000003"/>
    <n v="411222755.89999998"/>
    <n v="179097224.81999999"/>
  </r>
  <r>
    <n v="18"/>
    <x v="17"/>
    <n v="17105758131.910002"/>
    <n v="3993189700.0300002"/>
    <x v="17"/>
    <n v="7612440726.3100004"/>
    <n v="196510429.47999999"/>
    <n v="3256740495.3600001"/>
    <n v="14870188.779999999"/>
    <n v="111743018.68000001"/>
    <n v="714213528.12"/>
    <n v="4648020510.1800003"/>
    <n v="551219235"/>
  </r>
  <r>
    <n v="19"/>
    <x v="18"/>
    <n v="18452117954.790001"/>
    <n v="2097296432.7"/>
    <x v="18"/>
    <n v="6007311434.8999996"/>
    <n v="559421023.25999999"/>
    <n v="27958322.300000001"/>
    <n v="3533385.48"/>
    <n v="0"/>
    <n v="1376110716.03"/>
    <n v="1776789481.04"/>
    <n v="8700993591.7800007"/>
  </r>
  <r>
    <n v="20"/>
    <x v="19"/>
    <n v="14771371640.590002"/>
    <n v="5336860415.3900003"/>
    <x v="19"/>
    <n v="8579899255.7200003"/>
    <n v="289120266.38999999"/>
    <n v="703636238.33000004"/>
    <n v="1490854524.6900001"/>
    <n v="365978888.27999997"/>
    <n v="1195558870.26"/>
    <n v="1848390654.3900001"/>
    <n v="297932942.52999997"/>
  </r>
  <r>
    <n v="21"/>
    <x v="20"/>
    <n v="16008324676.459999"/>
    <n v="3431407547.6300001"/>
    <x v="20"/>
    <n v="9713781193.2199993"/>
    <n v="1850647510.55"/>
    <n v="1563906824.4100001"/>
    <n v="0"/>
    <n v="0"/>
    <n v="0"/>
    <n v="2879989148.2800002"/>
    <n v="0"/>
  </r>
  <r>
    <n v="22"/>
    <x v="21"/>
    <n v="15269611621.120001"/>
    <n v="4067524868.6999998"/>
    <x v="21"/>
    <n v="8858421094.5599995"/>
    <n v="119064814.98999999"/>
    <n v="974507510.72000003"/>
    <n v="60758160.009999998"/>
    <n v="195262818.93000001"/>
    <n v="1475541534.3800001"/>
    <n v="3520497620.27"/>
    <n v="65558067.259999998"/>
  </r>
  <r>
    <n v="23"/>
    <x v="22"/>
    <n v="13906599191.310001"/>
    <n v="5371008746.1199999"/>
    <x v="22"/>
    <n v="7889635642.4300003"/>
    <n v="65811127.759999998"/>
    <n v="212040053.69999999"/>
    <n v="26468064.530000001"/>
    <n v="0"/>
    <n v="184411549.08000001"/>
    <n v="4684666668.8100004"/>
    <n v="843566085"/>
  </r>
  <r>
    <n v="24"/>
    <x v="23"/>
    <n v="15704865034.85"/>
    <n v="3357081452.25"/>
    <x v="23"/>
    <n v="7218129539.04"/>
    <n v="275543449.33999997"/>
    <n v="204208625.25"/>
    <n v="208627080.69"/>
    <n v="313592.25"/>
    <n v="1337366013.27"/>
    <n v="6393975100.4200001"/>
    <n v="66701634.590000004"/>
  </r>
  <r>
    <n v="25"/>
    <x v="24"/>
    <n v="14165680457.890001"/>
    <n v="4048753805.9400001"/>
    <x v="24"/>
    <n v="8733955968.8299999"/>
    <n v="1584243710.1199999"/>
    <n v="598074616.60000002"/>
    <n v="0"/>
    <n v="0"/>
    <n v="0"/>
    <n v="3159584316.3400002"/>
    <n v="89821846"/>
  </r>
  <r>
    <n v="26"/>
    <x v="25"/>
    <n v="10525718889.560001"/>
    <n v="6504007715.6199999"/>
    <x v="25"/>
    <n v="5276756720.8299999"/>
    <n v="288669688.25"/>
    <n v="278683844.75"/>
    <n v="22892772.600000001"/>
    <n v="45584.800000000003"/>
    <n v="503782863.06999999"/>
    <n v="3873420345.0100002"/>
    <n v="281467070.25"/>
  </r>
  <r>
    <n v="27"/>
    <x v="26"/>
    <n v="12918432835.969997"/>
    <n v="4011826736.9000001"/>
    <x v="26"/>
    <n v="10574839944.709999"/>
    <n v="183866297.47"/>
    <n v="408829413"/>
    <n v="0"/>
    <n v="0"/>
    <n v="0"/>
    <n v="934652631.53999996"/>
    <n v="816244549.25"/>
  </r>
  <r>
    <n v="28"/>
    <x v="27"/>
    <n v="13242521036.269999"/>
    <n v="2710325930.0900002"/>
    <x v="27"/>
    <n v="10186494924.32"/>
    <n v="2406760459.4000001"/>
    <n v="257133547.55000001"/>
    <n v="18272989.190000001"/>
    <n v="232483.11"/>
    <n v="126809359.47"/>
    <n v="246817273.22999999"/>
    <n v="0"/>
  </r>
  <r>
    <n v="29"/>
    <x v="28"/>
    <n v="13111657656.120001"/>
    <n v="2815344082.8699999"/>
    <x v="28"/>
    <n v="10855444948.870001"/>
    <n v="108908348.34999999"/>
    <n v="643280966.77999997"/>
    <n v="16960203.140000001"/>
    <n v="6627122.2199999997"/>
    <n v="846344964.64999998"/>
    <n v="634091102.11000001"/>
    <n v="0"/>
  </r>
  <r>
    <n v="30"/>
    <x v="29"/>
    <n v="15725937177.109997"/>
    <n v="176722770.52000001"/>
    <x v="29"/>
    <n v="12575549731.709999"/>
    <n v="21905576.77"/>
    <n v="124984140.06"/>
    <n v="101273525.70999999"/>
    <n v="5157734.3899999997"/>
    <n v="696599964.82000005"/>
    <n v="1997217602.79"/>
    <n v="203248900.86000001"/>
  </r>
  <r>
    <n v="31"/>
    <x v="30"/>
    <n v="9136995580.1599998"/>
    <n v="4460165601.3500004"/>
    <x v="30"/>
    <n v="4978870111.4799995"/>
    <n v="121083539.12"/>
    <n v="137063053.13"/>
    <n v="2798739.69"/>
    <n v="3139700"/>
    <n v="158925978.62"/>
    <n v="3348921362.7600002"/>
    <n v="386193095.36000001"/>
  </r>
  <r>
    <n v="32"/>
    <x v="31"/>
    <n v="9585929996.6399994"/>
    <n v="3589844972.8899999"/>
    <x v="31"/>
    <n v="8183904082.5600004"/>
    <n v="206588960.94999999"/>
    <n v="136527475.16"/>
    <n v="3452344"/>
    <n v="2728980.36"/>
    <n v="347859232.17000002"/>
    <n v="704868921.44000006"/>
    <n v="0"/>
  </r>
  <r>
    <n v="33"/>
    <x v="32"/>
    <n v="10369905900.060001"/>
    <n v="2675477540.1700001"/>
    <x v="32"/>
    <n v="9618730266.5100002"/>
    <n v="358175305.12"/>
    <n v="141813516.16"/>
    <n v="1816233.74"/>
    <n v="0"/>
    <n v="214142767.75999999"/>
    <n v="35227810.770000003"/>
    <n v="0"/>
  </r>
  <r>
    <n v="34"/>
    <x v="33"/>
    <n v="6572498701.3299999"/>
    <n v="5853679837.7299995"/>
    <x v="33"/>
    <n v="5563480413.2799997"/>
    <n v="109826112.36"/>
    <n v="72952317.640000001"/>
    <n v="0"/>
    <n v="0"/>
    <n v="220451326.52000001"/>
    <n v="546831731.52999997"/>
    <n v="58956800"/>
  </r>
  <r>
    <n v="35"/>
    <x v="34"/>
    <n v="7203421623.5799999"/>
    <n v="3253355172.5999999"/>
    <x v="34"/>
    <n v="4517156290.8800001"/>
    <n v="56024257.600000001"/>
    <n v="62795843.310000002"/>
    <n v="3676547.87"/>
    <n v="0"/>
    <n v="359731472.66000003"/>
    <n v="1696815056.02"/>
    <n v="507222155.24000001"/>
  </r>
  <r>
    <n v="36"/>
    <x v="35"/>
    <n v="6488276501.3100004"/>
    <n v="3749833624.6399999"/>
    <x v="35"/>
    <n v="5603198415.3800001"/>
    <n v="20913942.870000001"/>
    <n v="158411325"/>
    <n v="5778323.4699999997"/>
    <n v="0"/>
    <n v="122292503.59"/>
    <n v="83903705.060000002"/>
    <n v="493778285.94"/>
  </r>
  <r>
    <n v="37"/>
    <x v="36"/>
    <n v="7450564130.1100006"/>
    <n v="1695685777.72"/>
    <x v="36"/>
    <n v="4752822718.9300003"/>
    <n v="433261983.11000001"/>
    <n v="59546900.380000003"/>
    <n v="3764647.06"/>
    <n v="0"/>
    <n v="0"/>
    <n v="1465235350.01"/>
    <n v="735932530.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5:J73" firstHeaderRow="1" firstDataRow="1" firstDataCol="1"/>
  <pivotFields count="13">
    <pivotField showAll="0"/>
    <pivotField axis="axisRow" showAll="0" sortType="descending">
      <items count="38">
        <item x="19"/>
        <item x="31"/>
        <item x="10"/>
        <item x="11"/>
        <item x="14"/>
        <item x="29"/>
        <item x="27"/>
        <item x="23"/>
        <item x="17"/>
        <item x="4"/>
        <item x="33"/>
        <item x="7"/>
        <item x="25"/>
        <item x="13"/>
        <item x="2"/>
        <item x="30"/>
        <item x="21"/>
        <item x="18"/>
        <item x="6"/>
        <item x="8"/>
        <item x="32"/>
        <item x="36"/>
        <item x="24"/>
        <item x="9"/>
        <item x="0"/>
        <item x="22"/>
        <item x="26"/>
        <item x="3"/>
        <item x="12"/>
        <item x="16"/>
        <item x="5"/>
        <item x="28"/>
        <item x="1"/>
        <item x="15"/>
        <item x="35"/>
        <item x="34"/>
        <item x="20"/>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pivotField numFmtId="44" showAll="0"/>
    <pivotField numFmtId="44" showAll="0"/>
    <pivotField numFmtId="44" showAll="0"/>
    <pivotField numFmtId="44" showAll="0"/>
    <pivotField numFmtId="44" showAll="0"/>
    <pivotField numFmtId="44" showAll="0"/>
    <pivotField numFmtId="44" showAll="0"/>
    <pivotField numFmtId="44" showAll="0"/>
  </pivotFields>
  <rowFields count="1">
    <field x="1"/>
  </rowFields>
  <rowItems count="38">
    <i>
      <x v="24"/>
    </i>
    <i>
      <x v="32"/>
    </i>
    <i>
      <x v="14"/>
    </i>
    <i>
      <x v="27"/>
    </i>
    <i>
      <x v="9"/>
    </i>
    <i>
      <x v="30"/>
    </i>
    <i>
      <x v="18"/>
    </i>
    <i>
      <x v="11"/>
    </i>
    <i>
      <x v="19"/>
    </i>
    <i>
      <x v="23"/>
    </i>
    <i>
      <x v="2"/>
    </i>
    <i>
      <x v="3"/>
    </i>
    <i>
      <x v="28"/>
    </i>
    <i>
      <x v="13"/>
    </i>
    <i>
      <x v="4"/>
    </i>
    <i>
      <x v="29"/>
    </i>
    <i>
      <x v="33"/>
    </i>
    <i>
      <x v="8"/>
    </i>
    <i>
      <x v="17"/>
    </i>
    <i>
      <x/>
    </i>
    <i>
      <x v="36"/>
    </i>
    <i>
      <x v="16"/>
    </i>
    <i>
      <x v="25"/>
    </i>
    <i>
      <x v="7"/>
    </i>
    <i>
      <x v="22"/>
    </i>
    <i>
      <x v="12"/>
    </i>
    <i>
      <x v="26"/>
    </i>
    <i>
      <x v="6"/>
    </i>
    <i>
      <x v="31"/>
    </i>
    <i>
      <x v="5"/>
    </i>
    <i>
      <x v="15"/>
    </i>
    <i>
      <x v="1"/>
    </i>
    <i>
      <x v="20"/>
    </i>
    <i>
      <x v="10"/>
    </i>
    <i>
      <x v="35"/>
    </i>
    <i>
      <x v="34"/>
    </i>
    <i>
      <x v="21"/>
    </i>
    <i t="grand">
      <x/>
    </i>
  </rowItems>
  <colItems count="1">
    <i/>
  </colItems>
  <dataFields count="1">
    <dataField name="Sum of TOTAL"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M54:AM55" firstHeaderRow="1" firstDataRow="1" firstDataCol="0"/>
  <pivotFields count="13">
    <pivotField showAll="0"/>
    <pivotField showAll="0">
      <items count="38">
        <item x="19"/>
        <item x="31"/>
        <item x="10"/>
        <item x="11"/>
        <item x="14"/>
        <item x="29"/>
        <item x="27"/>
        <item x="23"/>
        <item x="17"/>
        <item x="4"/>
        <item x="33"/>
        <item x="7"/>
        <item x="25"/>
        <item x="13"/>
        <item x="2"/>
        <item x="30"/>
        <item x="21"/>
        <item x="18"/>
        <item x="6"/>
        <item x="8"/>
        <item x="32"/>
        <item x="36"/>
        <item x="24"/>
        <item x="9"/>
        <item x="0"/>
        <item x="22"/>
        <item x="26"/>
        <item x="3"/>
        <item x="12"/>
        <item x="16"/>
        <item x="5"/>
        <item x="28"/>
        <item x="1"/>
        <item x="15"/>
        <item x="35"/>
        <item x="34"/>
        <item x="20"/>
        <item t="default"/>
      </items>
    </pivotField>
    <pivotField numFmtId="164" showAll="0"/>
    <pivotField showAll="0"/>
    <pivotField showAll="0"/>
    <pivotField numFmtId="44" showAll="0"/>
    <pivotField numFmtId="44" showAll="0"/>
    <pivotField dataField="1" numFmtId="44" showAll="0"/>
    <pivotField numFmtId="44" showAll="0"/>
    <pivotField numFmtId="44" showAll="0"/>
    <pivotField numFmtId="44" showAll="0"/>
    <pivotField numFmtId="44" showAll="0"/>
    <pivotField numFmtId="44" showAll="0"/>
  </pivotFields>
  <rowItems count="1">
    <i/>
  </rowItems>
  <colItems count="1">
    <i/>
  </colItems>
  <dataFields count="1">
    <dataField name="Sum of ROAD TAXES" fld="7" baseField="0" baseItem="0" numFmtId="44"/>
  </dataFields>
  <formats count="11">
    <format dxfId="10">
      <pivotArea dataOnly="0" labelOnly="1" outline="0" axis="axisValues" fieldPosition="0"/>
    </format>
    <format dxfId="9">
      <pivotArea dataOnly="0" labelOnly="1" outline="0" axis="axisValues" fieldPosition="0"/>
    </format>
    <format dxfId="8">
      <pivotArea dataOnly="0" labelOnly="1" outline="0" axis="axisValues" fieldPosition="0"/>
    </format>
    <format dxfId="7">
      <pivotArea dataOnly="0" labelOnly="1" outline="0" axis="axisValues" fieldPosition="0"/>
    </format>
    <format dxfId="6">
      <pivotArea dataOnly="0" labelOnly="1" outline="0" axis="axisValues" fieldPosition="0"/>
    </format>
    <format dxfId="5">
      <pivotArea dataOnly="0" labelOnly="1" outline="0" axis="axisValues" fieldPosition="0"/>
    </format>
    <format dxfId="4">
      <pivotArea dataOnly="0" labelOnly="1" outline="0" axis="axisValues" fieldPosition="0"/>
    </format>
    <format dxfId="3">
      <pivotArea dataOnly="0" labelOnly="1" outline="0" axis="axisValues"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P19:Q23" firstHeaderRow="1" firstDataRow="1" firstDataCol="1"/>
  <pivotFields count="13">
    <pivotField showAll="0"/>
    <pivotField axis="axisRow" showAll="0" measureFilter="1">
      <items count="38">
        <item x="19"/>
        <item x="31"/>
        <item x="10"/>
        <item x="11"/>
        <item x="14"/>
        <item x="29"/>
        <item x="27"/>
        <item x="23"/>
        <item x="17"/>
        <item x="4"/>
        <item x="33"/>
        <item x="7"/>
        <item x="25"/>
        <item x="13"/>
        <item x="2"/>
        <item x="30"/>
        <item x="21"/>
        <item x="18"/>
        <item x="6"/>
        <item x="8"/>
        <item x="32"/>
        <item x="36"/>
        <item x="24"/>
        <item x="9"/>
        <item x="0"/>
        <item x="22"/>
        <item x="26"/>
        <item x="3"/>
        <item x="12"/>
        <item x="16"/>
        <item x="5"/>
        <item x="28"/>
        <item x="1"/>
        <item x="15"/>
        <item x="35"/>
        <item x="34"/>
        <item x="20"/>
        <item t="default"/>
      </items>
    </pivotField>
    <pivotField numFmtId="164" showAll="0"/>
    <pivotField showAll="0"/>
    <pivotField dataField="1" showAll="0"/>
    <pivotField numFmtId="44" showAll="0"/>
    <pivotField numFmtId="44" showAll="0"/>
    <pivotField numFmtId="44" showAll="0"/>
    <pivotField numFmtId="44" showAll="0"/>
    <pivotField numFmtId="44" showAll="0"/>
    <pivotField numFmtId="44" showAll="0"/>
    <pivotField numFmtId="44" showAll="0"/>
    <pivotField numFmtId="44" showAll="0"/>
  </pivotFields>
  <rowFields count="1">
    <field x="1"/>
  </rowFields>
  <rowItems count="4">
    <i>
      <x v="14"/>
    </i>
    <i>
      <x v="24"/>
    </i>
    <i>
      <x v="32"/>
    </i>
    <i t="grand">
      <x/>
    </i>
  </rowItems>
  <colItems count="1">
    <i/>
  </colItems>
  <dataFields count="1">
    <dataField name="Sum of TOTAL" fld="4" baseField="0" baseItem="0"/>
  </dataFields>
  <chartFormats count="12">
    <chartFormat chart="0" format="24" series="1">
      <pivotArea type="data" outline="0" fieldPosition="0">
        <references count="1">
          <reference field="4294967294" count="1" selected="0">
            <x v="0"/>
          </reference>
        </references>
      </pivotArea>
    </chartFormat>
    <chartFormat chart="0" format="25">
      <pivotArea type="data" outline="0" fieldPosition="0">
        <references count="2">
          <reference field="4294967294" count="1" selected="0">
            <x v="0"/>
          </reference>
          <reference field="1" count="1" selected="0">
            <x v="9"/>
          </reference>
        </references>
      </pivotArea>
    </chartFormat>
    <chartFormat chart="17" format="32" series="1">
      <pivotArea type="data" outline="0" fieldPosition="0">
        <references count="1">
          <reference field="4294967294" count="1" selected="0">
            <x v="0"/>
          </reference>
        </references>
      </pivotArea>
    </chartFormat>
    <chartFormat chart="17" format="33">
      <pivotArea type="data" outline="0" fieldPosition="0">
        <references count="2">
          <reference field="4294967294" count="1" selected="0">
            <x v="0"/>
          </reference>
          <reference field="1" count="1" selected="0">
            <x v="9"/>
          </reference>
        </references>
      </pivotArea>
    </chartFormat>
    <chartFormat chart="17" format="34">
      <pivotArea type="data" outline="0" fieldPosition="0">
        <references count="2">
          <reference field="4294967294" count="1" selected="0">
            <x v="0"/>
          </reference>
          <reference field="1" count="1" selected="0">
            <x v="14"/>
          </reference>
        </references>
      </pivotArea>
    </chartFormat>
    <chartFormat chart="17" format="35">
      <pivotArea type="data" outline="0" fieldPosition="0">
        <references count="2">
          <reference field="4294967294" count="1" selected="0">
            <x v="0"/>
          </reference>
          <reference field="1" count="1" selected="0">
            <x v="24"/>
          </reference>
        </references>
      </pivotArea>
    </chartFormat>
    <chartFormat chart="17" format="36">
      <pivotArea type="data" outline="0" fieldPosition="0">
        <references count="2">
          <reference field="4294967294" count="1" selected="0">
            <x v="0"/>
          </reference>
          <reference field="1" count="1" selected="0">
            <x v="27"/>
          </reference>
        </references>
      </pivotArea>
    </chartFormat>
    <chartFormat chart="17" format="37">
      <pivotArea type="data" outline="0" fieldPosition="0">
        <references count="2">
          <reference field="4294967294" count="1" selected="0">
            <x v="0"/>
          </reference>
          <reference field="1" count="1" selected="0">
            <x v="32"/>
          </reference>
        </references>
      </pivotArea>
    </chartFormat>
    <chartFormat chart="0" format="26">
      <pivotArea type="data" outline="0" fieldPosition="0">
        <references count="2">
          <reference field="4294967294" count="1" selected="0">
            <x v="0"/>
          </reference>
          <reference field="1" count="1" selected="0">
            <x v="14"/>
          </reference>
        </references>
      </pivotArea>
    </chartFormat>
    <chartFormat chart="0" format="27">
      <pivotArea type="data" outline="0" fieldPosition="0">
        <references count="2">
          <reference field="4294967294" count="1" selected="0">
            <x v="0"/>
          </reference>
          <reference field="1" count="1" selected="0">
            <x v="24"/>
          </reference>
        </references>
      </pivotArea>
    </chartFormat>
    <chartFormat chart="0" format="28">
      <pivotArea type="data" outline="0" fieldPosition="0">
        <references count="2">
          <reference field="4294967294" count="1" selected="0">
            <x v="0"/>
          </reference>
          <reference field="1" count="1" selected="0">
            <x v="27"/>
          </reference>
        </references>
      </pivotArea>
    </chartFormat>
    <chartFormat chart="0" format="29">
      <pivotArea type="data" outline="0" fieldPosition="0">
        <references count="2">
          <reference field="4294967294" count="1" selected="0">
            <x v="0"/>
          </reference>
          <reference field="1" count="1" selected="0">
            <x v="32"/>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Y20:AG21" firstHeaderRow="0" firstDataRow="1" firstDataCol="0"/>
  <pivotFields count="13">
    <pivotField showAll="0"/>
    <pivotField showAll="0"/>
    <pivotField numFmtId="164" showAll="0"/>
    <pivotField dataField="1" showAll="0"/>
    <pivotField showAll="0"/>
    <pivotField dataField="1" numFmtId="44" showAll="0"/>
    <pivotField dataField="1" numFmtId="44" showAll="0"/>
    <pivotField dataField="1" numFmtId="44" showAll="0"/>
    <pivotField dataField="1" numFmtId="44" showAll="0"/>
    <pivotField dataField="1" numFmtId="44" showAll="0"/>
    <pivotField dataField="1" numFmtId="44" showAll="0"/>
    <pivotField dataField="1" numFmtId="44" showAll="0"/>
    <pivotField dataField="1" numFmtId="44" showAll="0"/>
  </pivotFields>
  <rowItems count="1">
    <i/>
  </rowItems>
  <colFields count="1">
    <field x="-2"/>
  </colFields>
  <colItems count="9">
    <i>
      <x/>
    </i>
    <i i="1">
      <x v="1"/>
    </i>
    <i i="2">
      <x v="2"/>
    </i>
    <i i="3">
      <x v="3"/>
    </i>
    <i i="4">
      <x v="4"/>
    </i>
    <i i="5">
      <x v="5"/>
    </i>
    <i i="6">
      <x v="6"/>
    </i>
    <i i="7">
      <x v="7"/>
    </i>
    <i i="8">
      <x v="8"/>
    </i>
  </colItems>
  <dataFields count="9">
    <dataField name=" WITHHOLDING TAX" fld="10" baseField="0" baseItem="1"/>
    <dataField name=" STAMP DUTIES" fld="8" baseField="0" baseItem="4"/>
    <dataField name=" ROAD TAXES" fld="7" baseField="0" baseItem="3"/>
    <dataField name=" PAYE" fld="5" baseField="0" baseItem="1"/>
    <dataField name=" OTHER TAXES" fld="11" baseField="0" baseItem="7"/>
    <dataField name=" MDAs REVENUE" fld="3" baseField="0" baseItem="1"/>
    <dataField name=" LGA Revenue" fld="12" baseField="0" baseItem="8"/>
    <dataField name=" DIRECT ASSESSMENT" fld="6" baseField="0" baseItem="2"/>
    <dataField name=" CAPITAL GAIN TAX" fld="9" baseField="0" baseItem="5"/>
  </dataFields>
  <chartFormats count="56">
    <chartFormat chart="0" format="0" series="1">
      <pivotArea type="data" outline="0" fieldPosition="0">
        <references count="1">
          <reference field="4294967294" count="1" selected="0">
            <x v="5"/>
          </reference>
        </references>
      </pivotArea>
    </chartFormat>
    <chartFormat chart="0" format="1" series="1">
      <pivotArea type="data" outline="0" fieldPosition="0">
        <references count="1">
          <reference field="4294967294" count="1" selected="0">
            <x v="3"/>
          </reference>
        </references>
      </pivotArea>
    </chartFormat>
    <chartFormat chart="0" format="2" series="1">
      <pivotArea type="data" outline="0" fieldPosition="0">
        <references count="1">
          <reference field="4294967294" count="1" selected="0">
            <x v="7"/>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8"/>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4"/>
          </reference>
        </references>
      </pivotArea>
    </chartFormat>
    <chartFormat chart="0" format="8" series="1">
      <pivotArea type="data" outline="0" fieldPosition="0">
        <references count="1">
          <reference field="4294967294" count="1" selected="0">
            <x v="6"/>
          </reference>
        </references>
      </pivotArea>
    </chartFormat>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1" format="12" series="1">
      <pivotArea type="data" outline="0" fieldPosition="0">
        <references count="1">
          <reference field="4294967294" count="1" selected="0">
            <x v="3"/>
          </reference>
        </references>
      </pivotArea>
    </chartFormat>
    <chartFormat chart="1" format="13" series="1">
      <pivotArea type="data" outline="0" fieldPosition="0">
        <references count="1">
          <reference field="4294967294" count="1" selected="0">
            <x v="4"/>
          </reference>
        </references>
      </pivotArea>
    </chartFormat>
    <chartFormat chart="1" format="14" series="1">
      <pivotArea type="data" outline="0" fieldPosition="0">
        <references count="1">
          <reference field="4294967294" count="1" selected="0">
            <x v="5"/>
          </reference>
        </references>
      </pivotArea>
    </chartFormat>
    <chartFormat chart="1" format="15" series="1">
      <pivotArea type="data" outline="0" fieldPosition="0">
        <references count="1">
          <reference field="4294967294" count="1" selected="0">
            <x v="6"/>
          </reference>
        </references>
      </pivotArea>
    </chartFormat>
    <chartFormat chart="1" format="16" series="1">
      <pivotArea type="data" outline="0" fieldPosition="0">
        <references count="1">
          <reference field="4294967294" count="1" selected="0">
            <x v="7"/>
          </reference>
        </references>
      </pivotArea>
    </chartFormat>
    <chartFormat chart="1" format="17" series="1">
      <pivotArea type="data" outline="0" fieldPosition="0">
        <references count="1">
          <reference field="4294967294" count="1" selected="0">
            <x v="8"/>
          </reference>
        </references>
      </pivotArea>
    </chartFormat>
    <chartFormat chart="2" format="18"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1"/>
          </reference>
        </references>
      </pivotArea>
    </chartFormat>
    <chartFormat chart="2" format="20" series="1">
      <pivotArea type="data" outline="0" fieldPosition="0">
        <references count="1">
          <reference field="4294967294" count="1" selected="0">
            <x v="2"/>
          </reference>
        </references>
      </pivotArea>
    </chartFormat>
    <chartFormat chart="2" format="21" series="1">
      <pivotArea type="data" outline="0" fieldPosition="0">
        <references count="1">
          <reference field="4294967294" count="1" selected="0">
            <x v="3"/>
          </reference>
        </references>
      </pivotArea>
    </chartFormat>
    <chartFormat chart="2" format="22" series="1">
      <pivotArea type="data" outline="0" fieldPosition="0">
        <references count="1">
          <reference field="4294967294" count="1" selected="0">
            <x v="4"/>
          </reference>
        </references>
      </pivotArea>
    </chartFormat>
    <chartFormat chart="2" format="23" series="1">
      <pivotArea type="data" outline="0" fieldPosition="0">
        <references count="1">
          <reference field="4294967294" count="1" selected="0">
            <x v="5"/>
          </reference>
        </references>
      </pivotArea>
    </chartFormat>
    <chartFormat chart="2" format="24" series="1">
      <pivotArea type="data" outline="0" fieldPosition="0">
        <references count="1">
          <reference field="4294967294" count="1" selected="0">
            <x v="6"/>
          </reference>
        </references>
      </pivotArea>
    </chartFormat>
    <chartFormat chart="2" format="25" series="1">
      <pivotArea type="data" outline="0" fieldPosition="0">
        <references count="1">
          <reference field="4294967294" count="1" selected="0">
            <x v="7"/>
          </reference>
        </references>
      </pivotArea>
    </chartFormat>
    <chartFormat chart="2" format="26" series="1">
      <pivotArea type="data" outline="0" fieldPosition="0">
        <references count="1">
          <reference field="4294967294" count="1" selected="0">
            <x v="8"/>
          </reference>
        </references>
      </pivotArea>
    </chartFormat>
    <chartFormat chart="4" format="18"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1"/>
          </reference>
        </references>
      </pivotArea>
    </chartFormat>
    <chartFormat chart="4" format="20" series="1">
      <pivotArea type="data" outline="0" fieldPosition="0">
        <references count="1">
          <reference field="4294967294" count="1" selected="0">
            <x v="2"/>
          </reference>
        </references>
      </pivotArea>
    </chartFormat>
    <chartFormat chart="4" format="21" series="1">
      <pivotArea type="data" outline="0" fieldPosition="0">
        <references count="1">
          <reference field="4294967294" count="1" selected="0">
            <x v="3"/>
          </reference>
        </references>
      </pivotArea>
    </chartFormat>
    <chartFormat chart="4" format="22" series="1">
      <pivotArea type="data" outline="0" fieldPosition="0">
        <references count="1">
          <reference field="4294967294" count="1" selected="0">
            <x v="4"/>
          </reference>
        </references>
      </pivotArea>
    </chartFormat>
    <chartFormat chart="4" format="23" series="1">
      <pivotArea type="data" outline="0" fieldPosition="0">
        <references count="1">
          <reference field="4294967294" count="1" selected="0">
            <x v="5"/>
          </reference>
        </references>
      </pivotArea>
    </chartFormat>
    <chartFormat chart="4" format="24" series="1">
      <pivotArea type="data" outline="0" fieldPosition="0">
        <references count="1">
          <reference field="4294967294" count="1" selected="0">
            <x v="6"/>
          </reference>
        </references>
      </pivotArea>
    </chartFormat>
    <chartFormat chart="4" format="25" series="1">
      <pivotArea type="data" outline="0" fieldPosition="0">
        <references count="1">
          <reference field="4294967294" count="1" selected="0">
            <x v="7"/>
          </reference>
        </references>
      </pivotArea>
    </chartFormat>
    <chartFormat chart="4" format="26" series="1">
      <pivotArea type="data" outline="0" fieldPosition="0">
        <references count="1">
          <reference field="4294967294" count="1" selected="0">
            <x v="8"/>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2"/>
          </reference>
        </references>
      </pivotArea>
    </chartFormat>
    <chartFormat chart="10" format="12" series="1">
      <pivotArea type="data" outline="0" fieldPosition="0">
        <references count="1">
          <reference field="4294967294" count="1" selected="0">
            <x v="3"/>
          </reference>
        </references>
      </pivotArea>
    </chartFormat>
    <chartFormat chart="10" format="13" series="1">
      <pivotArea type="data" outline="0" fieldPosition="0">
        <references count="1">
          <reference field="4294967294" count="1" selected="0">
            <x v="4"/>
          </reference>
        </references>
      </pivotArea>
    </chartFormat>
    <chartFormat chart="10" format="14" series="1">
      <pivotArea type="data" outline="0" fieldPosition="0">
        <references count="1">
          <reference field="4294967294" count="1" selected="0">
            <x v="5"/>
          </reference>
        </references>
      </pivotArea>
    </chartFormat>
    <chartFormat chart="10" format="15" series="1">
      <pivotArea type="data" outline="0" fieldPosition="0">
        <references count="1">
          <reference field="4294967294" count="1" selected="0">
            <x v="6"/>
          </reference>
        </references>
      </pivotArea>
    </chartFormat>
    <chartFormat chart="10" format="16" series="1">
      <pivotArea type="data" outline="0" fieldPosition="0">
        <references count="1">
          <reference field="4294967294" count="1" selected="0">
            <x v="7"/>
          </reference>
        </references>
      </pivotArea>
    </chartFormat>
    <chartFormat chart="10" format="17" series="1">
      <pivotArea type="data" outline="0" fieldPosition="0">
        <references count="1">
          <reference field="4294967294" count="1" selected="0">
            <x v="8"/>
          </reference>
        </references>
      </pivotArea>
    </chartFormat>
    <chartFormat chart="11" format="18"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1"/>
          </reference>
        </references>
      </pivotArea>
    </chartFormat>
    <chartFormat chart="11" format="20" series="1">
      <pivotArea type="data" outline="0" fieldPosition="0">
        <references count="1">
          <reference field="4294967294" count="1" selected="0">
            <x v="2"/>
          </reference>
        </references>
      </pivotArea>
    </chartFormat>
    <chartFormat chart="11" format="21" series="1">
      <pivotArea type="data" outline="0" fieldPosition="0">
        <references count="1">
          <reference field="4294967294" count="1" selected="0">
            <x v="3"/>
          </reference>
        </references>
      </pivotArea>
    </chartFormat>
    <chartFormat chart="11" format="22" series="1">
      <pivotArea type="data" outline="0" fieldPosition="0">
        <references count="1">
          <reference field="4294967294" count="1" selected="0">
            <x v="4"/>
          </reference>
        </references>
      </pivotArea>
    </chartFormat>
    <chartFormat chart="11" format="23" series="1">
      <pivotArea type="data" outline="0" fieldPosition="0">
        <references count="1">
          <reference field="4294967294" count="1" selected="0">
            <x v="5"/>
          </reference>
        </references>
      </pivotArea>
    </chartFormat>
    <chartFormat chart="11" format="24" series="1">
      <pivotArea type="data" outline="0" fieldPosition="0">
        <references count="1">
          <reference field="4294967294" count="1" selected="0">
            <x v="6"/>
          </reference>
        </references>
      </pivotArea>
    </chartFormat>
    <chartFormat chart="11" format="25" series="1">
      <pivotArea type="data" outline="0" fieldPosition="0">
        <references count="1">
          <reference field="4294967294" count="1" selected="0">
            <x v="7"/>
          </reference>
        </references>
      </pivotArea>
    </chartFormat>
    <chartFormat chart="11" format="26" series="1">
      <pivotArea type="data" outline="0" fieldPosition="0">
        <references count="1">
          <reference field="4294967294" count="1" selected="0">
            <x v="8"/>
          </reference>
        </references>
      </pivotArea>
    </chartFormat>
    <chartFormat chart="4" format="27">
      <pivotArea type="data" outline="0" fieldPosition="0">
        <references count="1">
          <reference field="4294967294" count="1" selected="0">
            <x v="2"/>
          </reference>
        </references>
      </pivotArea>
    </chartFormat>
    <chartFormat chart="4" format="2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location ref="A1:B12" firstHeaderRow="1" firstDataRow="1" firstDataCol="1"/>
  <pivotFields count="13">
    <pivotField showAll="0"/>
    <pivotField axis="axisRow" showAll="0" measureFilter="1" sortType="descending">
      <items count="38">
        <item x="19"/>
        <item x="31"/>
        <item x="10"/>
        <item x="11"/>
        <item x="14"/>
        <item x="29"/>
        <item x="27"/>
        <item x="23"/>
        <item x="17"/>
        <item x="4"/>
        <item x="33"/>
        <item x="7"/>
        <item x="25"/>
        <item x="13"/>
        <item x="2"/>
        <item x="30"/>
        <item x="21"/>
        <item x="18"/>
        <item x="6"/>
        <item x="8"/>
        <item x="32"/>
        <item x="36"/>
        <item x="24"/>
        <item x="9"/>
        <item x="0"/>
        <item x="22"/>
        <item x="26"/>
        <item x="3"/>
        <item x="12"/>
        <item x="16"/>
        <item x="5"/>
        <item x="28"/>
        <item x="1"/>
        <item x="15"/>
        <item x="35"/>
        <item x="34"/>
        <item x="20"/>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44" showAll="0"/>
    <pivotField numFmtId="44" showAll="0"/>
    <pivotField numFmtId="44" showAll="0"/>
    <pivotField numFmtId="44" showAll="0"/>
    <pivotField numFmtId="44" showAll="0"/>
    <pivotField numFmtId="44" showAll="0"/>
    <pivotField numFmtId="44" showAll="0"/>
    <pivotField dataField="1" numFmtId="44" showAll="0"/>
  </pivotFields>
  <rowFields count="1">
    <field x="1"/>
  </rowFields>
  <rowItems count="11">
    <i>
      <x v="30"/>
    </i>
    <i>
      <x v="24"/>
    </i>
    <i>
      <x v="17"/>
    </i>
    <i>
      <x v="32"/>
    </i>
    <i>
      <x v="11"/>
    </i>
    <i>
      <x v="9"/>
    </i>
    <i>
      <x v="27"/>
    </i>
    <i>
      <x v="13"/>
    </i>
    <i>
      <x v="25"/>
    </i>
    <i>
      <x v="19"/>
    </i>
    <i t="grand">
      <x/>
    </i>
  </rowItems>
  <colItems count="1">
    <i/>
  </colItems>
  <dataFields count="1">
    <dataField name="Sum of LGA Revenue" fld="12" baseField="0" baseItem="0"/>
  </dataFields>
  <formats count="3">
    <format dxfId="13">
      <pivotArea outline="0" collapsedLevelsAreSubtotals="1" fieldPosition="0"/>
    </format>
    <format dxfId="12">
      <pivotArea dataOnly="0" labelOnly="1" outline="0" axis="axisValues" fieldPosition="0"/>
    </format>
    <format dxfId="1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3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 count="1" selected="0">
            <x v="3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3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K54:AK55" firstHeaderRow="1" firstDataRow="1" firstDataCol="0"/>
  <pivotFields count="13">
    <pivotField showAll="0"/>
    <pivotField showAll="0">
      <items count="38">
        <item x="19"/>
        <item x="31"/>
        <item x="10"/>
        <item x="11"/>
        <item x="14"/>
        <item x="29"/>
        <item x="27"/>
        <item x="23"/>
        <item x="17"/>
        <item x="4"/>
        <item x="33"/>
        <item x="7"/>
        <item x="25"/>
        <item x="13"/>
        <item x="2"/>
        <item x="30"/>
        <item x="21"/>
        <item x="18"/>
        <item x="6"/>
        <item x="8"/>
        <item x="32"/>
        <item x="36"/>
        <item x="24"/>
        <item x="9"/>
        <item x="0"/>
        <item x="22"/>
        <item x="26"/>
        <item x="3"/>
        <item x="12"/>
        <item x="16"/>
        <item x="5"/>
        <item x="28"/>
        <item x="1"/>
        <item x="15"/>
        <item x="35"/>
        <item x="34"/>
        <item x="20"/>
        <item t="default"/>
      </items>
    </pivotField>
    <pivotField numFmtId="164" showAll="0"/>
    <pivotField showAll="0"/>
    <pivotField dataField="1" showAll="0"/>
    <pivotField numFmtId="44" showAll="0"/>
    <pivotField numFmtId="44" showAll="0"/>
    <pivotField numFmtId="44" showAll="0"/>
    <pivotField numFmtId="44" showAll="0"/>
    <pivotField numFmtId="44" showAll="0"/>
    <pivotField numFmtId="44" showAll="0"/>
    <pivotField numFmtId="44" showAll="0"/>
    <pivotField numFmtId="44" showAll="0"/>
  </pivotFields>
  <rowItems count="1">
    <i/>
  </rowItems>
  <colItems count="1">
    <i/>
  </colItems>
  <dataFields count="1">
    <dataField name="TOTAL REVENUE 2022" fld="4" baseField="0" baseItem="0" numFmtId="44"/>
  </dataFields>
  <formats count="3">
    <format dxfId="16">
      <pivotArea outline="0" collapsedLevelsAreSubtotals="1" fieldPosition="0"/>
    </format>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location ref="L7:N18" firstHeaderRow="0" firstDataRow="1" firstDataCol="1"/>
  <pivotFields count="13">
    <pivotField showAll="0"/>
    <pivotField axis="axisRow" showAll="0" measureFilter="1" sortType="descending">
      <items count="38">
        <item x="20"/>
        <item x="34"/>
        <item x="35"/>
        <item x="15"/>
        <item x="1"/>
        <item x="28"/>
        <item x="5"/>
        <item x="16"/>
        <item x="12"/>
        <item x="3"/>
        <item x="26"/>
        <item x="22"/>
        <item x="0"/>
        <item x="9"/>
        <item x="24"/>
        <item x="36"/>
        <item x="32"/>
        <item x="8"/>
        <item x="6"/>
        <item x="18"/>
        <item x="21"/>
        <item x="30"/>
        <item x="2"/>
        <item x="13"/>
        <item x="25"/>
        <item x="7"/>
        <item x="33"/>
        <item x="4"/>
        <item x="17"/>
        <item x="23"/>
        <item x="27"/>
        <item x="29"/>
        <item x="14"/>
        <item x="11"/>
        <item x="10"/>
        <item x="31"/>
        <item x="19"/>
        <item t="default"/>
      </items>
      <autoSortScope>
        <pivotArea dataOnly="0" outline="0" fieldPosition="0">
          <references count="1">
            <reference field="4294967294" count="1" selected="0">
              <x v="0"/>
            </reference>
          </references>
        </pivotArea>
      </autoSortScope>
    </pivotField>
    <pivotField dataField="1" numFmtId="164" showAll="0"/>
    <pivotField showAll="0"/>
    <pivotField dataField="1" showAll="0"/>
    <pivotField numFmtId="44" showAll="0"/>
    <pivotField numFmtId="44" showAll="0"/>
    <pivotField numFmtId="44" showAll="0"/>
    <pivotField numFmtId="44" showAll="0"/>
    <pivotField numFmtId="44" showAll="0"/>
    <pivotField numFmtId="44" showAll="0"/>
    <pivotField numFmtId="44" showAll="0"/>
    <pivotField numFmtId="44" showAll="0"/>
  </pivotFields>
  <rowFields count="1">
    <field x="1"/>
  </rowFields>
  <rowItems count="11">
    <i>
      <x v="12"/>
    </i>
    <i>
      <x v="4"/>
    </i>
    <i>
      <x v="22"/>
    </i>
    <i>
      <x v="27"/>
    </i>
    <i>
      <x v="9"/>
    </i>
    <i>
      <x v="6"/>
    </i>
    <i>
      <x v="18"/>
    </i>
    <i>
      <x v="25"/>
    </i>
    <i>
      <x v="17"/>
    </i>
    <i>
      <x v="8"/>
    </i>
    <i t="grand">
      <x/>
    </i>
  </rowItems>
  <colFields count="1">
    <field x="-2"/>
  </colFields>
  <colItems count="2">
    <i>
      <x/>
    </i>
    <i i="1">
      <x v="1"/>
    </i>
  </colItems>
  <dataFields count="2">
    <dataField name=" TOTAL TAX" fld="2" baseField="1" baseItem="9"/>
    <dataField name=" TOTAL" fld="4" baseField="1" baseItem="9"/>
  </dataFields>
  <formats count="1">
    <format dxfId="17">
      <pivotArea dataOnly="0" outline="0" fieldPosition="0">
        <references count="1">
          <reference field="4294967294" count="2">
            <x v="0"/>
            <x v="1"/>
          </reference>
        </references>
      </pivotArea>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4:D45" firstHeaderRow="1" firstDataRow="1" firstDataCol="0"/>
  <pivotFields count="13">
    <pivotField showAll="0"/>
    <pivotField showAll="0">
      <items count="38">
        <item x="19"/>
        <item x="31"/>
        <item x="10"/>
        <item x="11"/>
        <item x="14"/>
        <item x="29"/>
        <item x="27"/>
        <item x="23"/>
        <item x="17"/>
        <item x="4"/>
        <item x="33"/>
        <item x="7"/>
        <item x="25"/>
        <item x="13"/>
        <item x="2"/>
        <item x="30"/>
        <item x="21"/>
        <item x="18"/>
        <item x="6"/>
        <item x="8"/>
        <item x="32"/>
        <item x="36"/>
        <item x="24"/>
        <item x="9"/>
        <item x="0"/>
        <item x="22"/>
        <item x="26"/>
        <item x="3"/>
        <item x="12"/>
        <item x="16"/>
        <item x="5"/>
        <item x="28"/>
        <item x="1"/>
        <item x="15"/>
        <item x="35"/>
        <item x="34"/>
        <item x="20"/>
        <item t="default"/>
      </items>
    </pivotField>
    <pivotField numFmtId="164" showAll="0"/>
    <pivotField showAll="0"/>
    <pivotField showAll="0"/>
    <pivotField dataField="1" numFmtId="44" showAll="0"/>
    <pivotField numFmtId="44" showAll="0"/>
    <pivotField numFmtId="44" showAll="0"/>
    <pivotField numFmtId="44" showAll="0"/>
    <pivotField numFmtId="44" showAll="0"/>
    <pivotField numFmtId="44" showAll="0"/>
    <pivotField numFmtId="44" showAll="0"/>
    <pivotField numFmtId="44" showAll="0"/>
  </pivotFields>
  <rowItems count="1">
    <i/>
  </rowItems>
  <colItems count="1">
    <i/>
  </colItems>
  <dataFields count="1">
    <dataField name="Sum of PAYE" fld="5" baseField="0" baseItem="0" numFmtId="44"/>
  </dataFields>
  <formats count="5">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Y47:Z53" firstHeaderRow="1" firstDataRow="1" firstDataCol="1"/>
  <pivotFields count="13">
    <pivotField showAll="0"/>
    <pivotField axis="axisRow" showAll="0" measureFilter="1" sortType="descending">
      <items count="38">
        <item x="20"/>
        <item x="34"/>
        <item x="35"/>
        <item x="15"/>
        <item x="1"/>
        <item x="28"/>
        <item x="5"/>
        <item x="16"/>
        <item x="12"/>
        <item x="3"/>
        <item x="26"/>
        <item x="22"/>
        <item x="0"/>
        <item x="9"/>
        <item x="24"/>
        <item x="36"/>
        <item x="32"/>
        <item x="8"/>
        <item x="6"/>
        <item x="18"/>
        <item x="21"/>
        <item x="30"/>
        <item x="2"/>
        <item x="13"/>
        <item x="25"/>
        <item x="7"/>
        <item x="33"/>
        <item x="4"/>
        <item x="17"/>
        <item x="23"/>
        <item x="27"/>
        <item x="29"/>
        <item x="14"/>
        <item x="11"/>
        <item x="10"/>
        <item x="31"/>
        <item x="19"/>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items count="38">
        <item x="36"/>
        <item x="35"/>
        <item x="34"/>
        <item x="33"/>
        <item x="32"/>
        <item x="31"/>
        <item x="30"/>
        <item x="29"/>
        <item x="28"/>
        <item x="27"/>
        <item x="26"/>
        <item x="25"/>
        <item x="24"/>
        <item x="23"/>
        <item x="22"/>
        <item x="21"/>
        <item x="20"/>
        <item x="19"/>
        <item x="18"/>
        <item x="17"/>
        <item x="15"/>
        <item x="16"/>
        <item x="14"/>
        <item x="13"/>
        <item x="12"/>
        <item x="11"/>
        <item x="10"/>
        <item x="9"/>
        <item x="8"/>
        <item x="7"/>
        <item x="6"/>
        <item x="5"/>
        <item x="4"/>
        <item x="3"/>
        <item x="2"/>
        <item x="1"/>
        <item x="0"/>
        <item t="default"/>
      </items>
    </pivotField>
    <pivotField numFmtId="44" showAll="0"/>
    <pivotField numFmtId="44" showAll="0"/>
    <pivotField numFmtId="44" showAll="0"/>
    <pivotField numFmtId="44" showAll="0"/>
    <pivotField numFmtId="44" showAll="0"/>
    <pivotField numFmtId="44" showAll="0"/>
    <pivotField numFmtId="44" showAll="0"/>
    <pivotField numFmtId="44" showAll="0"/>
  </pivotFields>
  <rowFields count="1">
    <field x="1"/>
  </rowFields>
  <rowItems count="6">
    <i>
      <x v="16"/>
    </i>
    <i>
      <x v="26"/>
    </i>
    <i>
      <x v="1"/>
    </i>
    <i>
      <x v="2"/>
    </i>
    <i>
      <x v="15"/>
    </i>
    <i t="grand">
      <x/>
    </i>
  </rowItems>
  <colItems count="1">
    <i/>
  </colItems>
  <dataFields count="1">
    <dataField name="Sum of TOTAL" fld="4"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5"/>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1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H57:AH58" firstHeaderRow="1" firstDataRow="1" firstDataCol="0"/>
  <pivotFields count="13">
    <pivotField showAll="0"/>
    <pivotField dataField="1" showAll="0">
      <items count="38">
        <item x="19"/>
        <item x="31"/>
        <item x="10"/>
        <item x="11"/>
        <item x="14"/>
        <item x="29"/>
        <item x="27"/>
        <item x="23"/>
        <item x="17"/>
        <item x="4"/>
        <item x="33"/>
        <item x="7"/>
        <item x="25"/>
        <item x="13"/>
        <item x="2"/>
        <item x="30"/>
        <item x="21"/>
        <item x="18"/>
        <item x="6"/>
        <item x="8"/>
        <item x="32"/>
        <item x="36"/>
        <item x="24"/>
        <item x="9"/>
        <item x="0"/>
        <item x="22"/>
        <item x="26"/>
        <item x="3"/>
        <item x="12"/>
        <item x="16"/>
        <item x="5"/>
        <item x="28"/>
        <item x="1"/>
        <item x="15"/>
        <item x="35"/>
        <item x="34"/>
        <item x="20"/>
        <item t="default"/>
      </items>
    </pivotField>
    <pivotField numFmtId="164" showAll="0"/>
    <pivotField showAll="0"/>
    <pivotField showAll="0"/>
    <pivotField numFmtId="44" showAll="0"/>
    <pivotField numFmtId="44" showAll="0"/>
    <pivotField numFmtId="44" showAll="0"/>
    <pivotField numFmtId="44" showAll="0"/>
    <pivotField numFmtId="44" showAll="0"/>
    <pivotField numFmtId="44" showAll="0"/>
    <pivotField numFmtId="44" showAll="0"/>
    <pivotField numFmtId="44" showAll="0"/>
  </pivotFields>
  <rowItems count="1">
    <i/>
  </rowItems>
  <colItems count="1">
    <i/>
  </colItems>
  <dataFields count="1">
    <dataField name="Count of STATE" fld="1" subtotal="count" baseField="0" baseItem="0"/>
  </dataFields>
  <formats count="4">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9" name="PivotTable12"/>
    <pivotTable tabId="9" name="PivotTable15"/>
    <pivotTable tabId="9" name="PivotTable17"/>
    <pivotTable tabId="9" name="PivotTable18"/>
    <pivotTable tabId="9" name="PivotTable19"/>
    <pivotTable tabId="9" name="PivotTable3"/>
  </pivotTables>
  <data>
    <tabular pivotCacheId="1">
      <items count="37">
        <i x="19" s="1"/>
        <i x="31" s="1"/>
        <i x="10" s="1"/>
        <i x="11" s="1"/>
        <i x="14" s="1"/>
        <i x="29" s="1"/>
        <i x="27" s="1"/>
        <i x="23" s="1"/>
        <i x="17" s="1"/>
        <i x="4" s="1"/>
        <i x="33" s="1"/>
        <i x="7" s="1"/>
        <i x="25" s="1"/>
        <i x="13" s="1"/>
        <i x="2" s="1"/>
        <i x="30" s="1"/>
        <i x="21" s="1"/>
        <i x="18" s="1"/>
        <i x="6" s="1"/>
        <i x="8" s="1"/>
        <i x="32" s="1"/>
        <i x="36" s="1"/>
        <i x="24" s="1"/>
        <i x="9" s="1"/>
        <i x="0" s="1"/>
        <i x="22" s="1"/>
        <i x="26" s="1"/>
        <i x="3" s="1"/>
        <i x="12" s="1"/>
        <i x="16" s="1"/>
        <i x="5" s="1"/>
        <i x="28" s="1"/>
        <i x="1" s="1"/>
        <i x="15" s="1"/>
        <i x="35" s="1"/>
        <i x="3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1000000}" cache="Slicer_STATE" caption="STAT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M39" totalsRowCount="1" headerRowDxfId="56" dataDxfId="54" headerRowBorderDxfId="55" tableBorderDxfId="53">
  <autoFilter ref="A1:M38" xr:uid="{00000000-0009-0000-0100-000003000000}"/>
  <tableColumns count="13">
    <tableColumn id="1" xr3:uid="{00000000-0010-0000-0000-000001000000}" name="SNo" totalsRowFunction="sum" dataDxfId="52" totalsRowDxfId="51"/>
    <tableColumn id="2" xr3:uid="{00000000-0010-0000-0000-000002000000}" name="STATE" totalsRowFunction="sum" dataDxfId="50" totalsRowDxfId="49"/>
    <tableColumn id="11" xr3:uid="{00000000-0010-0000-0000-00000B000000}" name="TOTAL TAX" totalsRowFunction="sum" dataDxfId="48" totalsRowDxfId="47" dataCellStyle="Currency"/>
    <tableColumn id="12" xr3:uid="{00000000-0010-0000-0000-00000C000000}" name="MDAs REVENUE" totalsRowFunction="sum" dataDxfId="46" totalsRowDxfId="45" dataCellStyle="Currency"/>
    <tableColumn id="13" xr3:uid="{00000000-0010-0000-0000-00000D000000}" name="TOTAL" totalsRowFunction="sum" dataDxfId="44" totalsRowDxfId="43" dataCellStyle="Currency"/>
    <tableColumn id="3" xr3:uid="{00000000-0010-0000-0000-000003000000}" name="PAYE" totalsRowFunction="sum" dataDxfId="42" totalsRowDxfId="41" dataCellStyle="Currency"/>
    <tableColumn id="4" xr3:uid="{00000000-0010-0000-0000-000004000000}" name="DIRECT ASSESSMENT" totalsRowFunction="sum" dataDxfId="40" totalsRowDxfId="39" dataCellStyle="Currency"/>
    <tableColumn id="5" xr3:uid="{00000000-0010-0000-0000-000005000000}" name="ROAD TAXES" totalsRowFunction="sum" dataDxfId="38" totalsRowDxfId="37" dataCellStyle="Currency"/>
    <tableColumn id="6" xr3:uid="{00000000-0010-0000-0000-000006000000}" name="STAMP DUTIES" totalsRowFunction="sum" dataDxfId="36" totalsRowDxfId="35" dataCellStyle="Currency"/>
    <tableColumn id="7" xr3:uid="{00000000-0010-0000-0000-000007000000}" name="CAPITAL GAIN TAX" totalsRowFunction="sum" dataDxfId="34" totalsRowDxfId="33" dataCellStyle="Currency"/>
    <tableColumn id="8" xr3:uid="{00000000-0010-0000-0000-000008000000}" name="WITHHOLDING TAX" totalsRowFunction="sum" dataDxfId="32" totalsRowDxfId="31" dataCellStyle="Currency"/>
    <tableColumn id="9" xr3:uid="{00000000-0010-0000-0000-000009000000}" name="OTHER TAXES" totalsRowFunction="sum" dataDxfId="30" totalsRowDxfId="29" dataCellStyle="Currency"/>
    <tableColumn id="10" xr3:uid="{00000000-0010-0000-0000-00000A000000}" name="LGA Revenue" totalsRowFunction="sum" dataDxfId="28" totalsRowDxfId="27" dataCellStyle="Currenc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zoomScale="70" zoomScaleNormal="70" workbookViewId="0">
      <pane xSplit="2" ySplit="1" topLeftCell="G8" activePane="bottomRight" state="frozen"/>
      <selection pane="topRight" activeCell="C1" sqref="C1"/>
      <selection pane="bottomLeft" activeCell="A2" sqref="A2"/>
      <selection pane="bottomRight" activeCell="M39" sqref="M39"/>
    </sheetView>
  </sheetViews>
  <sheetFormatPr defaultColWidth="9.33203125" defaultRowHeight="27" customHeight="1" x14ac:dyDescent="0.2"/>
  <cols>
    <col min="1" max="1" width="9" style="1" customWidth="1"/>
    <col min="2" max="2" width="29.6640625" style="1" bestFit="1" customWidth="1"/>
    <col min="3" max="3" width="33" style="1" bestFit="1" customWidth="1"/>
    <col min="4" max="4" width="30.1640625" style="1" customWidth="1"/>
    <col min="5" max="5" width="44" style="1" customWidth="1"/>
    <col min="6" max="6" width="35" style="1" customWidth="1"/>
    <col min="7" max="7" width="34.33203125" style="1" customWidth="1"/>
    <col min="8" max="8" width="33.83203125" style="1" customWidth="1"/>
    <col min="9" max="10" width="31.33203125" style="1" bestFit="1" customWidth="1"/>
    <col min="11" max="11" width="29.6640625" style="1" bestFit="1" customWidth="1"/>
    <col min="12" max="12" width="34.1640625" style="1" customWidth="1"/>
    <col min="13" max="13" width="34.83203125" style="1" bestFit="1" customWidth="1"/>
    <col min="14" max="14" width="9.33203125" style="1"/>
    <col min="15" max="15" width="21.5" style="1" bestFit="1" customWidth="1"/>
    <col min="16" max="16384" width="9.33203125" style="1"/>
  </cols>
  <sheetData>
    <row r="1" spans="1:13" ht="69" customHeight="1" x14ac:dyDescent="0.3">
      <c r="A1" s="7" t="s">
        <v>26</v>
      </c>
      <c r="B1" s="7" t="s">
        <v>0</v>
      </c>
      <c r="C1" s="7" t="s">
        <v>25</v>
      </c>
      <c r="D1" s="7" t="s">
        <v>6</v>
      </c>
      <c r="E1" s="7" t="s">
        <v>7</v>
      </c>
      <c r="F1" s="9" t="s">
        <v>1</v>
      </c>
      <c r="G1" s="9" t="s">
        <v>2</v>
      </c>
      <c r="H1" s="9" t="s">
        <v>3</v>
      </c>
      <c r="I1" s="9" t="s">
        <v>4</v>
      </c>
      <c r="J1" s="9" t="s">
        <v>5</v>
      </c>
      <c r="K1" s="9" t="s">
        <v>27</v>
      </c>
      <c r="L1" s="9" t="s">
        <v>8</v>
      </c>
      <c r="M1" s="9" t="s">
        <v>28</v>
      </c>
    </row>
    <row r="2" spans="1:13" s="3" customFormat="1" ht="27" customHeight="1" x14ac:dyDescent="0.3">
      <c r="A2" s="4">
        <v>1</v>
      </c>
      <c r="B2" s="4" t="s">
        <v>9</v>
      </c>
      <c r="C2" s="10" t="s">
        <v>69</v>
      </c>
      <c r="D2" s="10">
        <v>126272608200.82001</v>
      </c>
      <c r="E2" s="10">
        <v>651145633085.30005</v>
      </c>
      <c r="F2" s="10">
        <v>360925647831.62</v>
      </c>
      <c r="G2" s="10">
        <v>27091947848.849998</v>
      </c>
      <c r="H2" s="10">
        <v>0</v>
      </c>
      <c r="I2" s="10">
        <v>12143969452.190001</v>
      </c>
      <c r="J2" s="10">
        <v>1728065095.6700001</v>
      </c>
      <c r="K2" s="10">
        <v>86288227072.210007</v>
      </c>
      <c r="L2" s="10">
        <v>25189581300.59</v>
      </c>
      <c r="M2" s="10">
        <v>11505586283.35</v>
      </c>
    </row>
    <row r="3" spans="1:13" ht="27" customHeight="1" x14ac:dyDescent="0.3">
      <c r="A3" s="4">
        <v>2</v>
      </c>
      <c r="B3" s="4" t="s">
        <v>29</v>
      </c>
      <c r="C3" s="10">
        <v>153562844055.14999</v>
      </c>
      <c r="D3" s="10">
        <v>19260388480.290001</v>
      </c>
      <c r="E3" s="10">
        <v>172823232535.44</v>
      </c>
      <c r="F3" s="10">
        <v>113020413712.28</v>
      </c>
      <c r="G3" s="10">
        <v>804920896.83000004</v>
      </c>
      <c r="H3" s="10">
        <v>223927585.5</v>
      </c>
      <c r="I3" s="10">
        <v>189255815.96000001</v>
      </c>
      <c r="J3" s="10">
        <v>508374172.91000003</v>
      </c>
      <c r="K3" s="10">
        <v>6630466192.0100002</v>
      </c>
      <c r="L3" s="10">
        <v>29709414904.009998</v>
      </c>
      <c r="M3" s="10">
        <v>2476070775.6500001</v>
      </c>
    </row>
    <row r="4" spans="1:13" ht="27" customHeight="1" x14ac:dyDescent="0.3">
      <c r="A4" s="4">
        <v>3</v>
      </c>
      <c r="B4" s="4" t="s">
        <v>30</v>
      </c>
      <c r="C4" s="10">
        <v>124366774519.25</v>
      </c>
      <c r="D4" s="10">
        <v>0</v>
      </c>
      <c r="E4" s="10">
        <v>124366774519.25</v>
      </c>
      <c r="F4" s="10">
        <v>84732502035.979996</v>
      </c>
      <c r="G4" s="10">
        <v>4033514701.2199998</v>
      </c>
      <c r="H4" s="10">
        <v>0</v>
      </c>
      <c r="I4" s="10">
        <v>34916415.090000004</v>
      </c>
      <c r="J4" s="10">
        <v>114455464.63</v>
      </c>
      <c r="K4" s="10">
        <v>8871447120.7099991</v>
      </c>
      <c r="L4" s="10">
        <v>26579938781.619999</v>
      </c>
      <c r="M4" s="10">
        <v>0</v>
      </c>
    </row>
    <row r="5" spans="1:13" ht="27" customHeight="1" x14ac:dyDescent="0.3">
      <c r="A5" s="4">
        <v>4</v>
      </c>
      <c r="B5" s="4" t="s">
        <v>10</v>
      </c>
      <c r="C5" s="10">
        <v>53312177070.880005</v>
      </c>
      <c r="D5" s="10">
        <v>67271980069.900002</v>
      </c>
      <c r="E5" s="10">
        <v>120584157140.78</v>
      </c>
      <c r="F5" s="10">
        <v>32873760392.389999</v>
      </c>
      <c r="G5" s="10">
        <v>2686203497.6900001</v>
      </c>
      <c r="H5" s="10">
        <v>1823645291.96</v>
      </c>
      <c r="I5" s="10">
        <v>780022565.08000004</v>
      </c>
      <c r="J5" s="10">
        <v>67361524.409999996</v>
      </c>
      <c r="K5" s="10">
        <v>3814336676.9499998</v>
      </c>
      <c r="L5" s="10">
        <v>9926840441.2900009</v>
      </c>
      <c r="M5" s="10">
        <v>1340006681.1099999</v>
      </c>
    </row>
    <row r="6" spans="1:13" ht="27" customHeight="1" x14ac:dyDescent="0.3">
      <c r="A6" s="4">
        <v>5</v>
      </c>
      <c r="B6" s="4" t="s">
        <v>31</v>
      </c>
      <c r="C6" s="10">
        <v>71495446090.549988</v>
      </c>
      <c r="D6" s="10">
        <v>14406161656.75</v>
      </c>
      <c r="E6" s="10">
        <v>85901607747.299988</v>
      </c>
      <c r="F6" s="10">
        <v>55561975759.089996</v>
      </c>
      <c r="G6" s="10">
        <v>621640341.77999997</v>
      </c>
      <c r="H6" s="10">
        <v>2475132019.4400001</v>
      </c>
      <c r="I6" s="10">
        <v>1886707994.6400001</v>
      </c>
      <c r="J6" s="10">
        <v>2687199.68</v>
      </c>
      <c r="K6" s="10">
        <v>8430780230.9300003</v>
      </c>
      <c r="L6" s="10">
        <v>655591074.28999996</v>
      </c>
      <c r="M6" s="10">
        <v>1860931470.7</v>
      </c>
    </row>
    <row r="7" spans="1:13" ht="27" customHeight="1" x14ac:dyDescent="0.3">
      <c r="A7" s="4">
        <v>6</v>
      </c>
      <c r="B7" s="4" t="s">
        <v>11</v>
      </c>
      <c r="C7" s="10">
        <v>45321456990.729996</v>
      </c>
      <c r="D7" s="10">
        <v>16924693469.629999</v>
      </c>
      <c r="E7" s="10">
        <v>62246150460.359993</v>
      </c>
      <c r="F7" s="10">
        <v>26912170641.889999</v>
      </c>
      <c r="G7" s="10">
        <v>1035743520.11</v>
      </c>
      <c r="H7" s="10">
        <v>960588770.84000003</v>
      </c>
      <c r="I7" s="10">
        <v>180812298.03</v>
      </c>
      <c r="J7" s="10">
        <v>133776220.8</v>
      </c>
      <c r="K7" s="10">
        <v>2781155855.27</v>
      </c>
      <c r="L7" s="10">
        <v>1484772663.46</v>
      </c>
      <c r="M7" s="10">
        <v>11832437020.33</v>
      </c>
    </row>
    <row r="8" spans="1:13" ht="27" customHeight="1" x14ac:dyDescent="0.3">
      <c r="A8" s="4">
        <v>7</v>
      </c>
      <c r="B8" s="4" t="s">
        <v>53</v>
      </c>
      <c r="C8" s="10">
        <v>34517325183.779999</v>
      </c>
      <c r="D8" s="10">
        <v>23577265902.130001</v>
      </c>
      <c r="E8" s="10">
        <v>58094591085.910004</v>
      </c>
      <c r="F8" s="10">
        <v>18598725523.490002</v>
      </c>
      <c r="G8" s="10">
        <v>383057551</v>
      </c>
      <c r="H8" s="10">
        <v>833675576.29999995</v>
      </c>
      <c r="I8" s="10">
        <v>2972758680.79</v>
      </c>
      <c r="J8" s="10">
        <v>13572118.359999999</v>
      </c>
      <c r="K8" s="10">
        <v>1759210763.3499999</v>
      </c>
      <c r="L8" s="10">
        <v>9956324970.4899998</v>
      </c>
      <c r="M8" s="10">
        <v>0</v>
      </c>
    </row>
    <row r="9" spans="1:13" ht="27" customHeight="1" x14ac:dyDescent="0.3">
      <c r="A9" s="4">
        <v>8</v>
      </c>
      <c r="B9" s="4" t="s">
        <v>12</v>
      </c>
      <c r="C9" s="10">
        <v>32968052908.219994</v>
      </c>
      <c r="D9" s="10">
        <v>14490075162.940001</v>
      </c>
      <c r="E9" s="10">
        <v>47458128071.159996</v>
      </c>
      <c r="F9" s="10">
        <v>17530732444.369999</v>
      </c>
      <c r="G9" s="10">
        <v>2256151605.46</v>
      </c>
      <c r="H9" s="10">
        <v>1413651759.03</v>
      </c>
      <c r="I9" s="10">
        <v>107166748.84999999</v>
      </c>
      <c r="J9" s="10">
        <v>66376013.490000002</v>
      </c>
      <c r="K9" s="10">
        <v>3003111862.25</v>
      </c>
      <c r="L9" s="10">
        <v>6195321841.7399998</v>
      </c>
      <c r="M9" s="10">
        <v>2395540633.0300002</v>
      </c>
    </row>
    <row r="10" spans="1:13" ht="27" customHeight="1" x14ac:dyDescent="0.3">
      <c r="A10" s="4">
        <v>9</v>
      </c>
      <c r="B10" s="4" t="s">
        <v>13</v>
      </c>
      <c r="C10" s="10">
        <v>30187194255.580002</v>
      </c>
      <c r="D10" s="10">
        <v>12322717444.360001</v>
      </c>
      <c r="E10" s="10">
        <v>42509911699.940002</v>
      </c>
      <c r="F10" s="10">
        <v>16113478614.940001</v>
      </c>
      <c r="G10" s="10">
        <v>1070097791.47</v>
      </c>
      <c r="H10" s="10">
        <v>941236007</v>
      </c>
      <c r="I10" s="10">
        <v>2352990350</v>
      </c>
      <c r="J10" s="10">
        <v>30614059.23</v>
      </c>
      <c r="K10" s="10">
        <v>1887679563.73</v>
      </c>
      <c r="L10" s="10">
        <v>6970338111.8100004</v>
      </c>
      <c r="M10" s="10">
        <v>820759757.39999998</v>
      </c>
    </row>
    <row r="11" spans="1:13" ht="27" customHeight="1" x14ac:dyDescent="0.3">
      <c r="A11" s="4">
        <v>10</v>
      </c>
      <c r="B11" s="4" t="s">
        <v>14</v>
      </c>
      <c r="C11" s="10">
        <v>14514377776.719999</v>
      </c>
      <c r="D11" s="10">
        <v>21242571593.290001</v>
      </c>
      <c r="E11" s="10">
        <v>35756949370.010002</v>
      </c>
      <c r="F11" s="10">
        <v>9935712852.0599995</v>
      </c>
      <c r="G11" s="10">
        <v>377407248.77999997</v>
      </c>
      <c r="H11" s="10">
        <v>661226070.5</v>
      </c>
      <c r="I11" s="10">
        <v>1326038820.73</v>
      </c>
      <c r="J11" s="10">
        <v>33123438.329999998</v>
      </c>
      <c r="K11" s="10">
        <v>980493898.54999995</v>
      </c>
      <c r="L11" s="10">
        <v>889272134.91999996</v>
      </c>
      <c r="M11" s="10">
        <v>311103312.85000002</v>
      </c>
    </row>
    <row r="12" spans="1:13" ht="27" customHeight="1" x14ac:dyDescent="0.3">
      <c r="A12" s="4">
        <v>11</v>
      </c>
      <c r="B12" s="4" t="s">
        <v>15</v>
      </c>
      <c r="C12" s="10">
        <v>24958421704.860001</v>
      </c>
      <c r="D12" s="10">
        <v>9853959319.0900002</v>
      </c>
      <c r="E12" s="10">
        <v>34812381023.949997</v>
      </c>
      <c r="F12" s="10">
        <v>21538355834.860001</v>
      </c>
      <c r="G12" s="10">
        <v>129112349.8</v>
      </c>
      <c r="H12" s="10">
        <v>471203241.12</v>
      </c>
      <c r="I12" s="10">
        <v>116696959.27</v>
      </c>
      <c r="J12" s="10">
        <v>0</v>
      </c>
      <c r="K12" s="10">
        <v>968262399.45000005</v>
      </c>
      <c r="L12" s="10">
        <v>1679562090</v>
      </c>
      <c r="M12" s="11">
        <v>55228830.359999999</v>
      </c>
    </row>
    <row r="13" spans="1:13" ht="27" customHeight="1" x14ac:dyDescent="0.3">
      <c r="A13" s="4">
        <v>12</v>
      </c>
      <c r="B13" s="4" t="s">
        <v>32</v>
      </c>
      <c r="C13" s="10">
        <v>20285352101.379997</v>
      </c>
      <c r="D13" s="10">
        <v>13686041059.35</v>
      </c>
      <c r="E13" s="10">
        <v>33971393160.729996</v>
      </c>
      <c r="F13" s="10">
        <v>14345756231.059999</v>
      </c>
      <c r="G13" s="10">
        <v>815591975.52999997</v>
      </c>
      <c r="H13" s="10">
        <v>942907037</v>
      </c>
      <c r="I13" s="10">
        <v>642402678.65999997</v>
      </c>
      <c r="J13" s="10">
        <v>70169415.239999995</v>
      </c>
      <c r="K13" s="10">
        <v>2216513046.27</v>
      </c>
      <c r="L13" s="10">
        <v>1097621487.6199999</v>
      </c>
      <c r="M13" s="10">
        <v>154390230</v>
      </c>
    </row>
    <row r="14" spans="1:13" ht="27" customHeight="1" x14ac:dyDescent="0.3">
      <c r="A14" s="4">
        <v>13</v>
      </c>
      <c r="B14" s="4" t="s">
        <v>16</v>
      </c>
      <c r="C14" s="10">
        <v>27673995607.350002</v>
      </c>
      <c r="D14" s="10">
        <v>4966665292.8999996</v>
      </c>
      <c r="E14" s="10">
        <v>32640660900.25</v>
      </c>
      <c r="F14" s="10">
        <v>14904146244.68</v>
      </c>
      <c r="G14" s="10">
        <v>795625960.77999997</v>
      </c>
      <c r="H14" s="10">
        <v>1824012142.99</v>
      </c>
      <c r="I14" s="10">
        <v>2349383174.3000002</v>
      </c>
      <c r="J14" s="10">
        <v>55267880</v>
      </c>
      <c r="K14" s="10">
        <v>1202539976.7</v>
      </c>
      <c r="L14" s="10">
        <v>6175998139.6099997</v>
      </c>
      <c r="M14" s="10">
        <v>367022088.29000002</v>
      </c>
    </row>
    <row r="15" spans="1:13" ht="27" customHeight="1" x14ac:dyDescent="0.3">
      <c r="A15" s="4">
        <v>14</v>
      </c>
      <c r="B15" s="4" t="s">
        <v>33</v>
      </c>
      <c r="C15" s="10">
        <v>17224732379.220001</v>
      </c>
      <c r="D15" s="10">
        <v>11467110638.280001</v>
      </c>
      <c r="E15" s="10">
        <v>28691843017.5</v>
      </c>
      <c r="F15" s="10">
        <v>12891843413.530001</v>
      </c>
      <c r="G15" s="10">
        <v>138970276.27000001</v>
      </c>
      <c r="H15" s="10">
        <v>1096883538.4000001</v>
      </c>
      <c r="I15" s="10">
        <v>0</v>
      </c>
      <c r="J15" s="10">
        <v>0</v>
      </c>
      <c r="K15" s="10">
        <v>0</v>
      </c>
      <c r="L15" s="10">
        <v>2020943901.23</v>
      </c>
      <c r="M15" s="10">
        <v>1076091249.79</v>
      </c>
    </row>
    <row r="16" spans="1:13" ht="27" customHeight="1" x14ac:dyDescent="0.3">
      <c r="A16" s="4">
        <v>15</v>
      </c>
      <c r="B16" s="4" t="s">
        <v>34</v>
      </c>
      <c r="C16" s="10">
        <v>16673958503.980001</v>
      </c>
      <c r="D16" s="10">
        <v>8797160607.3299999</v>
      </c>
      <c r="E16" s="10">
        <v>25471119111.310001</v>
      </c>
      <c r="F16" s="10">
        <v>14552931748.35</v>
      </c>
      <c r="G16" s="10">
        <v>490914816.76999998</v>
      </c>
      <c r="H16" s="10">
        <v>296870925</v>
      </c>
      <c r="I16" s="10">
        <v>0</v>
      </c>
      <c r="J16" s="10">
        <v>0</v>
      </c>
      <c r="K16" s="10">
        <v>0</v>
      </c>
      <c r="L16" s="10">
        <v>1096121585.95</v>
      </c>
      <c r="M16" s="10">
        <v>237119427.91</v>
      </c>
    </row>
    <row r="17" spans="1:15" ht="27" customHeight="1" x14ac:dyDescent="0.3">
      <c r="A17" s="4">
        <v>16</v>
      </c>
      <c r="B17" s="4" t="s">
        <v>35</v>
      </c>
      <c r="C17" s="10">
        <v>18230409246.73</v>
      </c>
      <c r="D17" s="10">
        <v>5386762952</v>
      </c>
      <c r="E17" s="10">
        <v>23617172198.73</v>
      </c>
      <c r="F17" s="10">
        <v>12244494211.27</v>
      </c>
      <c r="G17" s="10">
        <v>154087508.38999999</v>
      </c>
      <c r="H17" s="10">
        <v>137837704.86000001</v>
      </c>
      <c r="I17" s="10">
        <v>1910468.63</v>
      </c>
      <c r="J17" s="10">
        <v>250110</v>
      </c>
      <c r="K17" s="10">
        <v>258489860.86000001</v>
      </c>
      <c r="L17" s="10">
        <v>5433339382.7200003</v>
      </c>
      <c r="M17" s="10">
        <v>0</v>
      </c>
    </row>
    <row r="18" spans="1:15" ht="27" customHeight="1" x14ac:dyDescent="0.3">
      <c r="A18" s="4">
        <v>17</v>
      </c>
      <c r="B18" s="4" t="s">
        <v>36</v>
      </c>
      <c r="C18" s="10">
        <v>12658717444.469997</v>
      </c>
      <c r="D18" s="23">
        <v>11946622609.370001</v>
      </c>
      <c r="E18" s="12">
        <v>24605340053.839996</v>
      </c>
      <c r="F18" s="12">
        <v>10420984941.73</v>
      </c>
      <c r="G18" s="12">
        <v>208437952.65000001</v>
      </c>
      <c r="H18" s="12">
        <v>445241550.99000001</v>
      </c>
      <c r="I18" s="12">
        <v>54380244.659999996</v>
      </c>
      <c r="J18" s="12">
        <v>6117338</v>
      </c>
      <c r="K18" s="12">
        <v>933235435.72000003</v>
      </c>
      <c r="L18" s="12">
        <v>411222755.89999998</v>
      </c>
      <c r="M18" s="10">
        <v>179097224.81999999</v>
      </c>
    </row>
    <row r="19" spans="1:15" ht="27" customHeight="1" x14ac:dyDescent="0.3">
      <c r="A19" s="4">
        <v>18</v>
      </c>
      <c r="B19" s="4" t="s">
        <v>37</v>
      </c>
      <c r="C19" s="10">
        <v>17105758131.910002</v>
      </c>
      <c r="D19" s="10">
        <v>3993189700.0300002</v>
      </c>
      <c r="E19" s="10">
        <v>21098947831.940002</v>
      </c>
      <c r="F19" s="10">
        <v>7612440726.3100004</v>
      </c>
      <c r="G19" s="10">
        <v>196510429.47999999</v>
      </c>
      <c r="H19" s="10">
        <v>3256740495.3600001</v>
      </c>
      <c r="I19" s="10">
        <v>14870188.779999999</v>
      </c>
      <c r="J19" s="10">
        <v>111743018.68000001</v>
      </c>
      <c r="K19" s="10">
        <v>714213528.12</v>
      </c>
      <c r="L19" s="10">
        <v>4648020510.1800003</v>
      </c>
      <c r="M19" s="13">
        <v>551219235</v>
      </c>
    </row>
    <row r="20" spans="1:15" ht="27" customHeight="1" x14ac:dyDescent="0.3">
      <c r="A20" s="4">
        <v>19</v>
      </c>
      <c r="B20" s="5" t="s">
        <v>17</v>
      </c>
      <c r="C20" s="14">
        <v>18452117954.790001</v>
      </c>
      <c r="D20" s="14">
        <v>2097296432.7</v>
      </c>
      <c r="E20" s="14">
        <v>20549414387.490002</v>
      </c>
      <c r="F20" s="14">
        <v>6007311434.8999996</v>
      </c>
      <c r="G20" s="14">
        <v>559421023.25999999</v>
      </c>
      <c r="H20" s="14">
        <v>27958322.300000001</v>
      </c>
      <c r="I20" s="14">
        <v>3533385.48</v>
      </c>
      <c r="J20" s="14">
        <v>0</v>
      </c>
      <c r="K20" s="14">
        <v>1376110716.03</v>
      </c>
      <c r="L20" s="14">
        <v>1776789481.04</v>
      </c>
      <c r="M20" s="14">
        <v>8700993591.7800007</v>
      </c>
    </row>
    <row r="21" spans="1:15" ht="27" customHeight="1" x14ac:dyDescent="0.3">
      <c r="A21" s="4">
        <v>20</v>
      </c>
      <c r="B21" s="4" t="s">
        <v>18</v>
      </c>
      <c r="C21" s="10">
        <v>14771371640.590002</v>
      </c>
      <c r="D21" s="10">
        <v>5336860415.3900003</v>
      </c>
      <c r="E21" s="10">
        <v>20108232055.980003</v>
      </c>
      <c r="F21" s="10">
        <v>8579899255.7200003</v>
      </c>
      <c r="G21" s="10">
        <v>289120266.38999999</v>
      </c>
      <c r="H21" s="10">
        <v>703636238.33000004</v>
      </c>
      <c r="I21" s="10">
        <v>1490854524.6900001</v>
      </c>
      <c r="J21" s="10">
        <v>365978888.27999997</v>
      </c>
      <c r="K21" s="10">
        <v>1195558870.26</v>
      </c>
      <c r="L21" s="10">
        <v>1848390654.3900001</v>
      </c>
      <c r="M21" s="10">
        <v>297932942.52999997</v>
      </c>
    </row>
    <row r="22" spans="1:15" ht="27" customHeight="1" x14ac:dyDescent="0.3">
      <c r="A22" s="4">
        <v>21</v>
      </c>
      <c r="B22" s="4" t="s">
        <v>38</v>
      </c>
      <c r="C22" s="10">
        <v>16008324676.459999</v>
      </c>
      <c r="D22" s="10">
        <v>3431407547.6300001</v>
      </c>
      <c r="E22" s="10">
        <v>19439732224.09</v>
      </c>
      <c r="F22" s="10">
        <v>9713781193.2199993</v>
      </c>
      <c r="G22" s="10">
        <v>1850647510.55</v>
      </c>
      <c r="H22" s="10">
        <v>1563906824.4100001</v>
      </c>
      <c r="I22" s="10">
        <v>0</v>
      </c>
      <c r="J22" s="10">
        <v>0</v>
      </c>
      <c r="K22" s="10">
        <v>0</v>
      </c>
      <c r="L22" s="10">
        <v>2879989148.2800002</v>
      </c>
      <c r="M22" s="10">
        <v>0</v>
      </c>
    </row>
    <row r="23" spans="1:15" ht="27" customHeight="1" x14ac:dyDescent="0.3">
      <c r="A23" s="4">
        <v>22</v>
      </c>
      <c r="B23" s="4" t="s">
        <v>19</v>
      </c>
      <c r="C23" s="10">
        <v>15269611621.120001</v>
      </c>
      <c r="D23" s="10">
        <v>4067524868.6999998</v>
      </c>
      <c r="E23" s="10">
        <v>19337136489.82</v>
      </c>
      <c r="F23" s="10">
        <v>8858421094.5599995</v>
      </c>
      <c r="G23" s="10">
        <v>119064814.98999999</v>
      </c>
      <c r="H23" s="10">
        <v>974507510.72000003</v>
      </c>
      <c r="I23" s="10">
        <v>60758160.009999998</v>
      </c>
      <c r="J23" s="10">
        <v>195262818.93000001</v>
      </c>
      <c r="K23" s="10">
        <v>1475541534.3800001</v>
      </c>
      <c r="L23" s="10">
        <v>3520497620.27</v>
      </c>
      <c r="M23" s="10">
        <v>65558067.259999998</v>
      </c>
    </row>
    <row r="24" spans="1:15" ht="27" customHeight="1" x14ac:dyDescent="0.3">
      <c r="A24" s="4">
        <v>23</v>
      </c>
      <c r="B24" s="4" t="s">
        <v>39</v>
      </c>
      <c r="C24" s="10">
        <v>13906599191.310001</v>
      </c>
      <c r="D24" s="10">
        <v>5371008746.1199999</v>
      </c>
      <c r="E24" s="10">
        <v>19277607937.43</v>
      </c>
      <c r="F24" s="10">
        <v>7889635642.4300003</v>
      </c>
      <c r="G24" s="10">
        <v>65811127.759999998</v>
      </c>
      <c r="H24" s="10">
        <v>212040053.69999999</v>
      </c>
      <c r="I24" s="10">
        <v>26468064.530000001</v>
      </c>
      <c r="J24" s="10">
        <v>0</v>
      </c>
      <c r="K24" s="10">
        <v>184411549.08000001</v>
      </c>
      <c r="L24" s="10">
        <v>4684666668.8100004</v>
      </c>
      <c r="M24" s="10">
        <v>843566085</v>
      </c>
      <c r="O24" s="1">
        <v>0</v>
      </c>
    </row>
    <row r="25" spans="1:15" ht="27" customHeight="1" x14ac:dyDescent="0.3">
      <c r="A25" s="4">
        <v>24</v>
      </c>
      <c r="B25" s="4" t="s">
        <v>20</v>
      </c>
      <c r="C25" s="10">
        <v>15704865034.85</v>
      </c>
      <c r="D25" s="10">
        <v>3357081452.25</v>
      </c>
      <c r="E25" s="10">
        <v>19061946487.099998</v>
      </c>
      <c r="F25" s="10">
        <v>7218129539.04</v>
      </c>
      <c r="G25" s="10">
        <v>275543449.33999997</v>
      </c>
      <c r="H25" s="10">
        <v>204208625.25</v>
      </c>
      <c r="I25" s="10">
        <v>208627080.69</v>
      </c>
      <c r="J25" s="10">
        <v>313592.25</v>
      </c>
      <c r="K25" s="10">
        <v>1337366013.27</v>
      </c>
      <c r="L25" s="10">
        <v>6393975100.4200001</v>
      </c>
      <c r="M25" s="10">
        <v>66701634.590000004</v>
      </c>
    </row>
    <row r="26" spans="1:15" ht="27" customHeight="1" x14ac:dyDescent="0.3">
      <c r="A26" s="4">
        <v>25</v>
      </c>
      <c r="B26" s="4" t="s">
        <v>21</v>
      </c>
      <c r="C26" s="10">
        <v>14165680457.890001</v>
      </c>
      <c r="D26" s="10">
        <v>4048753805.9400001</v>
      </c>
      <c r="E26" s="10">
        <v>18214434263.830002</v>
      </c>
      <c r="F26" s="10">
        <v>8733955968.8299999</v>
      </c>
      <c r="G26" s="10">
        <v>1584243710.1199999</v>
      </c>
      <c r="H26" s="10">
        <v>598074616.60000002</v>
      </c>
      <c r="I26" s="10">
        <v>0</v>
      </c>
      <c r="J26" s="10">
        <v>0</v>
      </c>
      <c r="K26" s="10">
        <v>0</v>
      </c>
      <c r="L26" s="10">
        <v>3159584316.3400002</v>
      </c>
      <c r="M26" s="10">
        <v>89821846</v>
      </c>
    </row>
    <row r="27" spans="1:15" ht="27" customHeight="1" x14ac:dyDescent="0.3">
      <c r="A27" s="4">
        <v>26</v>
      </c>
      <c r="B27" s="4" t="s">
        <v>22</v>
      </c>
      <c r="C27" s="10">
        <v>10525718889.560001</v>
      </c>
      <c r="D27" s="10">
        <v>6504007715.6199999</v>
      </c>
      <c r="E27" s="10">
        <v>17029726605.18</v>
      </c>
      <c r="F27" s="10">
        <v>5276756720.8299999</v>
      </c>
      <c r="G27" s="10">
        <v>288669688.25</v>
      </c>
      <c r="H27" s="10">
        <v>278683844.75</v>
      </c>
      <c r="I27" s="10">
        <v>22892772.600000001</v>
      </c>
      <c r="J27" s="10">
        <v>45584.800000000003</v>
      </c>
      <c r="K27" s="10">
        <v>503782863.06999999</v>
      </c>
      <c r="L27" s="10">
        <v>3873420345.0100002</v>
      </c>
      <c r="M27" s="10">
        <v>281467070.25</v>
      </c>
    </row>
    <row r="28" spans="1:15" ht="27" customHeight="1" x14ac:dyDescent="0.3">
      <c r="A28" s="4">
        <v>27</v>
      </c>
      <c r="B28" s="4" t="s">
        <v>40</v>
      </c>
      <c r="C28" s="10">
        <v>12918432835.969997</v>
      </c>
      <c r="D28" s="10">
        <v>4011826736.9000001</v>
      </c>
      <c r="E28" s="10">
        <v>16930259572.869997</v>
      </c>
      <c r="F28" s="10">
        <v>10574839944.709999</v>
      </c>
      <c r="G28" s="10">
        <v>183866297.47</v>
      </c>
      <c r="H28" s="10">
        <v>408829413</v>
      </c>
      <c r="I28" s="10">
        <v>0</v>
      </c>
      <c r="J28" s="10">
        <v>0</v>
      </c>
      <c r="K28" s="10">
        <v>0</v>
      </c>
      <c r="L28" s="10">
        <v>934652631.53999996</v>
      </c>
      <c r="M28" s="10">
        <v>816244549.25</v>
      </c>
    </row>
    <row r="29" spans="1:15" ht="27" customHeight="1" x14ac:dyDescent="0.3">
      <c r="A29" s="4">
        <v>28</v>
      </c>
      <c r="B29" s="4" t="s">
        <v>41</v>
      </c>
      <c r="C29" s="10">
        <v>13242521036.269999</v>
      </c>
      <c r="D29" s="10">
        <v>2710325930.0900002</v>
      </c>
      <c r="E29" s="10">
        <v>15952846966.359999</v>
      </c>
      <c r="F29" s="10">
        <v>10186494924.32</v>
      </c>
      <c r="G29" s="10">
        <v>2406760459.4000001</v>
      </c>
      <c r="H29" s="10">
        <v>257133547.55000001</v>
      </c>
      <c r="I29" s="10">
        <v>18272989.190000001</v>
      </c>
      <c r="J29" s="10">
        <v>232483.11</v>
      </c>
      <c r="K29" s="10">
        <v>126809359.47</v>
      </c>
      <c r="L29" s="10">
        <v>246817273.22999999</v>
      </c>
      <c r="M29" s="10">
        <v>0</v>
      </c>
    </row>
    <row r="30" spans="1:15" ht="27" customHeight="1" x14ac:dyDescent="0.3">
      <c r="A30" s="4">
        <v>29</v>
      </c>
      <c r="B30" s="4" t="s">
        <v>42</v>
      </c>
      <c r="C30" s="10">
        <v>13111657656.120001</v>
      </c>
      <c r="D30" s="10">
        <v>2815344082.8699999</v>
      </c>
      <c r="E30" s="10">
        <v>15927001738.990002</v>
      </c>
      <c r="F30" s="10">
        <v>10855444948.870001</v>
      </c>
      <c r="G30" s="10">
        <v>108908348.34999999</v>
      </c>
      <c r="H30" s="10">
        <v>643280966.77999997</v>
      </c>
      <c r="I30" s="10">
        <v>16960203.140000001</v>
      </c>
      <c r="J30" s="10">
        <v>6627122.2199999997</v>
      </c>
      <c r="K30" s="10">
        <v>846344964.64999998</v>
      </c>
      <c r="L30" s="10">
        <v>634091102.11000001</v>
      </c>
      <c r="M30" s="10">
        <v>0</v>
      </c>
    </row>
    <row r="31" spans="1:15" ht="27" customHeight="1" x14ac:dyDescent="0.3">
      <c r="A31" s="4">
        <v>30</v>
      </c>
      <c r="B31" s="4" t="s">
        <v>43</v>
      </c>
      <c r="C31" s="10">
        <v>15725937177.109997</v>
      </c>
      <c r="D31" s="10">
        <v>176722770.52000001</v>
      </c>
      <c r="E31" s="10">
        <v>15902659947.629997</v>
      </c>
      <c r="F31" s="10">
        <v>12575549731.709999</v>
      </c>
      <c r="G31" s="10">
        <v>21905576.77</v>
      </c>
      <c r="H31" s="10">
        <v>124984140.06</v>
      </c>
      <c r="I31" s="10">
        <v>101273525.70999999</v>
      </c>
      <c r="J31" s="10">
        <v>5157734.3899999997</v>
      </c>
      <c r="K31" s="10">
        <v>696599964.82000005</v>
      </c>
      <c r="L31" s="10">
        <v>1997217602.79</v>
      </c>
      <c r="M31" s="10">
        <v>203248900.86000001</v>
      </c>
    </row>
    <row r="32" spans="1:15" ht="27" customHeight="1" x14ac:dyDescent="0.3">
      <c r="A32" s="4">
        <v>31</v>
      </c>
      <c r="B32" s="4" t="s">
        <v>23</v>
      </c>
      <c r="C32" s="10">
        <v>9136995580.1599998</v>
      </c>
      <c r="D32" s="10">
        <v>4460165601.3500004</v>
      </c>
      <c r="E32" s="10">
        <v>13597161181.51</v>
      </c>
      <c r="F32" s="10">
        <v>4978870111.4799995</v>
      </c>
      <c r="G32" s="10">
        <v>121083539.12</v>
      </c>
      <c r="H32" s="10">
        <v>137063053.13</v>
      </c>
      <c r="I32" s="10">
        <v>2798739.69</v>
      </c>
      <c r="J32" s="10">
        <v>3139700</v>
      </c>
      <c r="K32" s="10">
        <v>158925978.62</v>
      </c>
      <c r="L32" s="10">
        <v>3348921362.7600002</v>
      </c>
      <c r="M32" s="10">
        <v>386193095.36000001</v>
      </c>
    </row>
    <row r="33" spans="1:15" ht="27" customHeight="1" x14ac:dyDescent="0.3">
      <c r="A33" s="4">
        <v>32</v>
      </c>
      <c r="B33" s="4" t="s">
        <v>44</v>
      </c>
      <c r="C33" s="10">
        <v>9585929996.6399994</v>
      </c>
      <c r="D33" s="10">
        <v>3589844972.8899999</v>
      </c>
      <c r="E33" s="10">
        <v>13175774969.529999</v>
      </c>
      <c r="F33" s="10">
        <v>8183904082.5600004</v>
      </c>
      <c r="G33" s="10">
        <v>206588960.94999999</v>
      </c>
      <c r="H33" s="10">
        <v>136527475.16</v>
      </c>
      <c r="I33" s="10">
        <v>3452344</v>
      </c>
      <c r="J33" s="10">
        <v>2728980.36</v>
      </c>
      <c r="K33" s="10">
        <v>347859232.17000002</v>
      </c>
      <c r="L33" s="10">
        <v>704868921.44000006</v>
      </c>
      <c r="M33" s="10">
        <v>0</v>
      </c>
    </row>
    <row r="34" spans="1:15" ht="27" customHeight="1" x14ac:dyDescent="0.3">
      <c r="A34" s="4">
        <v>33</v>
      </c>
      <c r="B34" s="4" t="s">
        <v>45</v>
      </c>
      <c r="C34" s="10">
        <v>10369905900.060001</v>
      </c>
      <c r="D34" s="10">
        <v>2675477540.1700001</v>
      </c>
      <c r="E34" s="10">
        <v>13045383440.230001</v>
      </c>
      <c r="F34" s="10">
        <v>9618730266.5100002</v>
      </c>
      <c r="G34" s="10">
        <v>358175305.12</v>
      </c>
      <c r="H34" s="10">
        <v>141813516.16</v>
      </c>
      <c r="I34" s="10">
        <v>1816233.74</v>
      </c>
      <c r="J34" s="10">
        <v>0</v>
      </c>
      <c r="K34" s="10">
        <v>214142767.75999999</v>
      </c>
      <c r="L34" s="10">
        <v>35227810.770000003</v>
      </c>
      <c r="M34" s="10">
        <v>0</v>
      </c>
    </row>
    <row r="35" spans="1:15" ht="27" customHeight="1" x14ac:dyDescent="0.3">
      <c r="A35" s="4">
        <v>34</v>
      </c>
      <c r="B35" s="4" t="s">
        <v>24</v>
      </c>
      <c r="C35" s="10">
        <v>6572498701.3299999</v>
      </c>
      <c r="D35" s="10">
        <v>5853679837.7299995</v>
      </c>
      <c r="E35" s="10">
        <v>12426178539.059999</v>
      </c>
      <c r="F35" s="10">
        <v>5563480413.2799997</v>
      </c>
      <c r="G35" s="10">
        <v>109826112.36</v>
      </c>
      <c r="H35" s="10">
        <v>72952317.640000001</v>
      </c>
      <c r="I35" s="10">
        <v>0</v>
      </c>
      <c r="J35" s="10">
        <v>0</v>
      </c>
      <c r="K35" s="10">
        <v>220451326.52000001</v>
      </c>
      <c r="L35" s="10">
        <v>546831731.52999997</v>
      </c>
      <c r="M35" s="10">
        <v>58956800</v>
      </c>
    </row>
    <row r="36" spans="1:15" ht="27" customHeight="1" x14ac:dyDescent="0.3">
      <c r="A36" s="4">
        <v>35</v>
      </c>
      <c r="B36" s="4" t="s">
        <v>46</v>
      </c>
      <c r="C36" s="10">
        <v>7203421623.5799999</v>
      </c>
      <c r="D36" s="10">
        <v>3253355172.5999999</v>
      </c>
      <c r="E36" s="10">
        <v>10456776796.18</v>
      </c>
      <c r="F36" s="10">
        <v>4517156290.8800001</v>
      </c>
      <c r="G36" s="10">
        <v>56024257.600000001</v>
      </c>
      <c r="H36" s="10">
        <v>62795843.310000002</v>
      </c>
      <c r="I36" s="10">
        <v>3676547.87</v>
      </c>
      <c r="J36" s="10">
        <v>0</v>
      </c>
      <c r="K36" s="10">
        <v>359731472.66000003</v>
      </c>
      <c r="L36" s="10">
        <v>1696815056.02</v>
      </c>
      <c r="M36" s="10">
        <v>507222155.24000001</v>
      </c>
    </row>
    <row r="37" spans="1:15" ht="27" customHeight="1" x14ac:dyDescent="0.3">
      <c r="A37" s="4">
        <v>36</v>
      </c>
      <c r="B37" s="4" t="s">
        <v>47</v>
      </c>
      <c r="C37" s="10">
        <v>6488276501.3100004</v>
      </c>
      <c r="D37" s="10">
        <v>3749833624.6399999</v>
      </c>
      <c r="E37" s="10">
        <v>10238110125.950001</v>
      </c>
      <c r="F37" s="10">
        <v>5603198415.3800001</v>
      </c>
      <c r="G37" s="10">
        <v>20913942.870000001</v>
      </c>
      <c r="H37" s="10">
        <v>158411325</v>
      </c>
      <c r="I37" s="10">
        <v>5778323.4699999997</v>
      </c>
      <c r="J37" s="10">
        <v>0</v>
      </c>
      <c r="K37" s="10">
        <v>122292503.59</v>
      </c>
      <c r="L37" s="10">
        <v>83903705.060000002</v>
      </c>
      <c r="M37" s="10">
        <v>493778285.94</v>
      </c>
    </row>
    <row r="38" spans="1:15" ht="27" customHeight="1" x14ac:dyDescent="0.3">
      <c r="A38" s="4">
        <v>37</v>
      </c>
      <c r="B38" s="4" t="s">
        <v>48</v>
      </c>
      <c r="C38" s="10">
        <v>7450564130.1100006</v>
      </c>
      <c r="D38" s="10">
        <v>1695685777.72</v>
      </c>
      <c r="E38" s="10">
        <v>9146249907.8299999</v>
      </c>
      <c r="F38" s="10">
        <v>4752822718.9300003</v>
      </c>
      <c r="G38" s="10">
        <v>433261983.11000001</v>
      </c>
      <c r="H38" s="10">
        <v>59546900.380000003</v>
      </c>
      <c r="I38" s="10">
        <v>3764647.06</v>
      </c>
      <c r="J38" s="10">
        <v>0</v>
      </c>
      <c r="K38" s="10">
        <v>0</v>
      </c>
      <c r="L38" s="10">
        <v>1465235350.01</v>
      </c>
      <c r="M38" s="10">
        <v>735932530.62</v>
      </c>
    </row>
    <row r="39" spans="1:15" ht="27" customHeight="1" x14ac:dyDescent="0.2">
      <c r="A39" s="28">
        <f>SUBTOTAL(109,Table3[SNo])</f>
        <v>703</v>
      </c>
      <c r="B39" s="28">
        <f>SUBTOTAL(109,Table3[STATE])</f>
        <v>0</v>
      </c>
      <c r="C39" s="29">
        <f>SUBTOTAL(109,Table3[TOTAL TAX])</f>
        <v>945667424575.98999</v>
      </c>
      <c r="D39" s="29">
        <f>SUBTOTAL(109,Table3[MDAs REVENUE])</f>
        <v>455072177190.2901</v>
      </c>
      <c r="E39" s="29">
        <f>SUBTOTAL(109,Table3[TOTAL])</f>
        <v>1925612626650.7603</v>
      </c>
      <c r="F39" s="29">
        <f>SUBTOTAL(109,Table3[PAYE])</f>
        <v>994404455858.06018</v>
      </c>
      <c r="G39" s="29">
        <f>SUBTOTAL(109,Table3[DIRECT ASSESSMENT])</f>
        <v>52349772646.640007</v>
      </c>
      <c r="H39" s="29">
        <f>SUBTOTAL(109,Table3[ROAD TAXES])</f>
        <v>24571134250.520004</v>
      </c>
      <c r="I39" s="29">
        <f>SUBTOTAL(109,Table3[STAMP DUTIES])</f>
        <v>27125210397.529987</v>
      </c>
      <c r="J39" s="29">
        <f>SUBTOTAL(109,Table3[CAPITAL GAIN TAX])</f>
        <v>3521439973.769999</v>
      </c>
      <c r="K39" s="29">
        <f>SUBTOTAL(109,Table3[WITHHOLDING TAX])</f>
        <v>139906092599.43002</v>
      </c>
      <c r="L39" s="29">
        <f>SUBTOTAL(109,Table3[OTHER TAXES])</f>
        <v>179952121959.25003</v>
      </c>
      <c r="M39" s="29">
        <f>SUBTOTAL(109,Table3[LGA Revenue])</f>
        <v>48710221775.270004</v>
      </c>
      <c r="O39" s="6"/>
    </row>
    <row r="40" spans="1:15" ht="27" customHeight="1" x14ac:dyDescent="0.25">
      <c r="B40" s="2"/>
    </row>
    <row r="45" spans="1:15" ht="27" customHeight="1" x14ac:dyDescent="0.2">
      <c r="F45" s="27">
        <f>SUM('2022'!E:E)</f>
        <v>3851225253301.5205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Q1:AF36"/>
  <sheetViews>
    <sheetView showGridLines="0" showRowColHeaders="0" tabSelected="1" topLeftCell="A32" zoomScale="60" zoomScaleNormal="60" workbookViewId="0">
      <selection activeCell="Q38" sqref="Q38"/>
    </sheetView>
  </sheetViews>
  <sheetFormatPr defaultRowHeight="12.75" x14ac:dyDescent="0.2"/>
  <sheetData>
    <row r="1" spans="28:32" ht="15" x14ac:dyDescent="0.2">
      <c r="AB1" s="24"/>
    </row>
    <row r="14" spans="28:32" x14ac:dyDescent="0.2">
      <c r="AD14" s="17"/>
      <c r="AE14" s="17"/>
      <c r="AF14" s="17"/>
    </row>
    <row r="15" spans="28:32" x14ac:dyDescent="0.2">
      <c r="AD15" s="17"/>
      <c r="AE15" s="17"/>
      <c r="AF15" s="17"/>
    </row>
    <row r="16" spans="28:32" x14ac:dyDescent="0.2">
      <c r="AD16" s="17"/>
      <c r="AE16" s="17"/>
      <c r="AF16" s="17"/>
    </row>
    <row r="17" spans="30:32" x14ac:dyDescent="0.2">
      <c r="AD17" s="17"/>
      <c r="AE17" s="17"/>
      <c r="AF17" s="17"/>
    </row>
    <row r="36" spans="17:17" ht="26.25" x14ac:dyDescent="0.2">
      <c r="Q36" s="1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M85"/>
  <sheetViews>
    <sheetView topLeftCell="U40" workbookViewId="0">
      <selection activeCell="AB24" sqref="AB24"/>
    </sheetView>
  </sheetViews>
  <sheetFormatPr defaultRowHeight="12.75" x14ac:dyDescent="0.2"/>
  <cols>
    <col min="1" max="1" width="15.33203125" customWidth="1"/>
    <col min="2" max="2" width="20.83203125" style="25" customWidth="1"/>
    <col min="4" max="4" width="20.33203125" customWidth="1"/>
    <col min="9" max="9" width="32.5" bestFit="1" customWidth="1"/>
    <col min="10" max="10" width="24.5" style="22" bestFit="1" customWidth="1"/>
    <col min="12" max="12" width="32.5" customWidth="1"/>
    <col min="13" max="14" width="24.5" style="22" customWidth="1"/>
    <col min="16" max="16" width="32.5" customWidth="1"/>
    <col min="17" max="17" width="15.33203125" style="22" customWidth="1"/>
    <col min="25" max="25" width="14.1640625" style="22" customWidth="1"/>
    <col min="26" max="27" width="15.33203125" style="22" customWidth="1"/>
    <col min="28" max="28" width="12.5" style="22" customWidth="1"/>
    <col min="29" max="29" width="16.33203125" style="22" customWidth="1"/>
    <col min="30" max="30" width="17.6640625" style="22" customWidth="1"/>
    <col min="31" max="31" width="14.33203125" style="22" customWidth="1"/>
    <col min="32" max="32" width="24.1640625" style="22" customWidth="1"/>
    <col min="33" max="33" width="21.83203125" style="22" customWidth="1"/>
    <col min="34" max="34" width="16.1640625" customWidth="1"/>
    <col min="35" max="35" width="20.83203125" bestFit="1" customWidth="1"/>
    <col min="37" max="37" width="23.83203125" customWidth="1"/>
    <col min="39" max="39" width="23.33203125" bestFit="1" customWidth="1"/>
  </cols>
  <sheetData>
    <row r="1" spans="1:14" x14ac:dyDescent="0.2">
      <c r="A1" s="8" t="s">
        <v>49</v>
      </c>
      <c r="B1" s="26" t="s">
        <v>51</v>
      </c>
    </row>
    <row r="2" spans="1:14" x14ac:dyDescent="0.2">
      <c r="A2" t="s">
        <v>11</v>
      </c>
      <c r="B2">
        <v>11832437020.33</v>
      </c>
    </row>
    <row r="3" spans="1:14" x14ac:dyDescent="0.2">
      <c r="A3" t="s">
        <v>9</v>
      </c>
      <c r="B3">
        <v>11505586283.35</v>
      </c>
    </row>
    <row r="4" spans="1:14" x14ac:dyDescent="0.2">
      <c r="A4" t="s">
        <v>17</v>
      </c>
      <c r="B4">
        <v>8700993591.7800007</v>
      </c>
    </row>
    <row r="5" spans="1:14" x14ac:dyDescent="0.2">
      <c r="A5" t="s">
        <v>29</v>
      </c>
      <c r="B5">
        <v>2476070775.6500001</v>
      </c>
    </row>
    <row r="6" spans="1:14" x14ac:dyDescent="0.2">
      <c r="A6" t="s">
        <v>12</v>
      </c>
      <c r="B6">
        <v>2395540633.0300002</v>
      </c>
    </row>
    <row r="7" spans="1:14" x14ac:dyDescent="0.2">
      <c r="A7" t="s">
        <v>31</v>
      </c>
      <c r="B7">
        <v>1860931470.7</v>
      </c>
      <c r="L7" s="8" t="s">
        <v>49</v>
      </c>
      <c r="M7" s="15" t="s">
        <v>66</v>
      </c>
      <c r="N7" s="15" t="s">
        <v>67</v>
      </c>
    </row>
    <row r="8" spans="1:14" x14ac:dyDescent="0.2">
      <c r="A8" t="s">
        <v>10</v>
      </c>
      <c r="B8">
        <v>1340006681.1099999</v>
      </c>
      <c r="L8" t="s">
        <v>9</v>
      </c>
      <c r="M8" s="15">
        <v>524873024884.47998</v>
      </c>
      <c r="N8" s="15">
        <v>651145633085.30005</v>
      </c>
    </row>
    <row r="9" spans="1:14" x14ac:dyDescent="0.2">
      <c r="A9" t="s">
        <v>33</v>
      </c>
      <c r="B9">
        <v>1076091249.79</v>
      </c>
      <c r="L9" t="s">
        <v>29</v>
      </c>
      <c r="M9" s="15">
        <v>153562844055.14999</v>
      </c>
      <c r="N9" s="15">
        <v>172823232535.44</v>
      </c>
    </row>
    <row r="10" spans="1:14" x14ac:dyDescent="0.2">
      <c r="A10" t="s">
        <v>39</v>
      </c>
      <c r="B10">
        <v>843566085</v>
      </c>
      <c r="L10" t="s">
        <v>30</v>
      </c>
      <c r="M10" s="15">
        <v>124366774519.25</v>
      </c>
      <c r="N10" s="15">
        <v>124366774519.25</v>
      </c>
    </row>
    <row r="11" spans="1:14" x14ac:dyDescent="0.2">
      <c r="A11" t="s">
        <v>13</v>
      </c>
      <c r="B11">
        <v>820759757.39999998</v>
      </c>
      <c r="L11" t="s">
        <v>31</v>
      </c>
      <c r="M11" s="15">
        <v>71495446090.549988</v>
      </c>
      <c r="N11" s="15">
        <v>85901607747.299988</v>
      </c>
    </row>
    <row r="12" spans="1:14" x14ac:dyDescent="0.2">
      <c r="A12" t="s">
        <v>50</v>
      </c>
      <c r="B12" s="26">
        <v>42851983548.140007</v>
      </c>
      <c r="L12" t="s">
        <v>10</v>
      </c>
      <c r="M12" s="15">
        <v>53312177070.880005</v>
      </c>
      <c r="N12" s="15">
        <v>120584157140.78</v>
      </c>
    </row>
    <row r="13" spans="1:14" x14ac:dyDescent="0.2">
      <c r="B13"/>
      <c r="L13" t="s">
        <v>11</v>
      </c>
      <c r="M13" s="15">
        <v>45321456990.729996</v>
      </c>
      <c r="N13" s="15">
        <v>62246150460.359993</v>
      </c>
    </row>
    <row r="14" spans="1:14" x14ac:dyDescent="0.2">
      <c r="B14"/>
      <c r="L14" t="s">
        <v>53</v>
      </c>
      <c r="M14" s="15">
        <v>34517325183.779999</v>
      </c>
      <c r="N14" s="15">
        <v>58094591085.910004</v>
      </c>
    </row>
    <row r="15" spans="1:14" x14ac:dyDescent="0.2">
      <c r="B15"/>
      <c r="L15" t="s">
        <v>12</v>
      </c>
      <c r="M15" s="15">
        <v>32968052908.219994</v>
      </c>
      <c r="N15" s="15">
        <v>47458128071.159996</v>
      </c>
    </row>
    <row r="16" spans="1:14" x14ac:dyDescent="0.2">
      <c r="B16"/>
      <c r="L16" t="s">
        <v>13</v>
      </c>
      <c r="M16" s="15">
        <v>30187194255.580002</v>
      </c>
      <c r="N16" s="15">
        <v>42509911699.940002</v>
      </c>
    </row>
    <row r="17" spans="2:33" x14ac:dyDescent="0.2">
      <c r="B17"/>
      <c r="L17" t="s">
        <v>16</v>
      </c>
      <c r="M17" s="15">
        <v>27673995607.350002</v>
      </c>
      <c r="N17" s="15">
        <v>32640660900.25</v>
      </c>
    </row>
    <row r="18" spans="2:33" x14ac:dyDescent="0.2">
      <c r="B18"/>
      <c r="L18" t="s">
        <v>50</v>
      </c>
      <c r="M18" s="15">
        <v>1098278291565.97</v>
      </c>
      <c r="N18" s="15">
        <v>1397770847245.6899</v>
      </c>
    </row>
    <row r="19" spans="2:33" x14ac:dyDescent="0.2">
      <c r="B19"/>
      <c r="M19"/>
      <c r="N19"/>
      <c r="P19" s="8" t="s">
        <v>49</v>
      </c>
      <c r="Q19" t="s">
        <v>52</v>
      </c>
      <c r="Y19"/>
      <c r="AA19"/>
      <c r="AB19"/>
      <c r="AC19"/>
      <c r="AD19"/>
      <c r="AE19"/>
      <c r="AF19"/>
      <c r="AG19"/>
    </row>
    <row r="20" spans="2:33" x14ac:dyDescent="0.2">
      <c r="B20"/>
      <c r="M20"/>
      <c r="N20"/>
      <c r="P20" t="s">
        <v>30</v>
      </c>
      <c r="Q20">
        <v>124366774519.25</v>
      </c>
      <c r="Y20" t="s">
        <v>63</v>
      </c>
      <c r="Z20" s="22" t="s">
        <v>61</v>
      </c>
      <c r="AA20" t="s">
        <v>60</v>
      </c>
      <c r="AB20" t="s">
        <v>58</v>
      </c>
      <c r="AC20" t="s">
        <v>64</v>
      </c>
      <c r="AD20" t="s">
        <v>57</v>
      </c>
      <c r="AE20" t="s">
        <v>65</v>
      </c>
      <c r="AF20" t="s">
        <v>59</v>
      </c>
      <c r="AG20" t="s">
        <v>62</v>
      </c>
    </row>
    <row r="21" spans="2:33" x14ac:dyDescent="0.2">
      <c r="B21"/>
      <c r="M21"/>
      <c r="N21"/>
      <c r="P21" t="s">
        <v>9</v>
      </c>
      <c r="Q21">
        <v>651145633085.30005</v>
      </c>
      <c r="Y21">
        <v>139906092599.43002</v>
      </c>
      <c r="Z21" s="22">
        <v>27125210397.529987</v>
      </c>
      <c r="AA21">
        <v>24571134250.520004</v>
      </c>
      <c r="AB21">
        <v>994404455858.06018</v>
      </c>
      <c r="AC21">
        <v>179952121959.25003</v>
      </c>
      <c r="AD21">
        <v>455072177190.2901</v>
      </c>
      <c r="AE21">
        <v>48710221775.270004</v>
      </c>
      <c r="AF21">
        <v>52349772646.640007</v>
      </c>
      <c r="AG21">
        <v>3521439973.769999</v>
      </c>
    </row>
    <row r="22" spans="2:33" x14ac:dyDescent="0.2">
      <c r="B22"/>
      <c r="M22"/>
      <c r="N22"/>
      <c r="P22" t="s">
        <v>29</v>
      </c>
      <c r="Q22">
        <v>172823232535.44</v>
      </c>
      <c r="Y22"/>
      <c r="AA22"/>
      <c r="AB22"/>
      <c r="AC22"/>
      <c r="AD22"/>
      <c r="AE22"/>
      <c r="AF22"/>
      <c r="AG22"/>
    </row>
    <row r="23" spans="2:33" x14ac:dyDescent="0.2">
      <c r="B23"/>
      <c r="M23"/>
      <c r="N23"/>
      <c r="P23" t="s">
        <v>50</v>
      </c>
      <c r="Q23">
        <v>948335640139.98999</v>
      </c>
      <c r="Y23"/>
      <c r="AA23"/>
      <c r="AB23"/>
      <c r="AC23"/>
      <c r="AD23"/>
      <c r="AE23"/>
      <c r="AF23"/>
      <c r="AG23"/>
    </row>
    <row r="24" spans="2:33" x14ac:dyDescent="0.2">
      <c r="B24"/>
      <c r="M24"/>
      <c r="N24"/>
      <c r="Q24"/>
      <c r="Y24"/>
      <c r="AA24"/>
      <c r="AB24"/>
      <c r="AC24"/>
      <c r="AD24"/>
      <c r="AE24"/>
      <c r="AF24"/>
      <c r="AG24"/>
    </row>
    <row r="25" spans="2:33" x14ac:dyDescent="0.2">
      <c r="B25"/>
      <c r="M25"/>
      <c r="N25"/>
      <c r="Q25"/>
      <c r="Y25"/>
      <c r="AA25"/>
      <c r="AB25"/>
      <c r="AC25"/>
      <c r="AD25"/>
      <c r="AE25"/>
      <c r="AF25"/>
      <c r="AG25"/>
    </row>
    <row r="26" spans="2:33" x14ac:dyDescent="0.2">
      <c r="B26"/>
      <c r="M26"/>
      <c r="N26"/>
      <c r="Q26"/>
      <c r="Y26"/>
      <c r="AA26"/>
      <c r="AB26"/>
      <c r="AC26"/>
      <c r="AD26"/>
      <c r="AE26"/>
      <c r="AF26"/>
      <c r="AG26"/>
    </row>
    <row r="27" spans="2:33" x14ac:dyDescent="0.2">
      <c r="B27"/>
      <c r="M27"/>
      <c r="N27"/>
      <c r="Q27"/>
      <c r="Y27"/>
      <c r="AA27"/>
      <c r="AB27"/>
      <c r="AC27"/>
      <c r="AD27"/>
      <c r="AE27"/>
      <c r="AF27"/>
      <c r="AG27"/>
    </row>
    <row r="28" spans="2:33" x14ac:dyDescent="0.2">
      <c r="B28"/>
      <c r="M28"/>
      <c r="N28"/>
      <c r="Q28"/>
      <c r="Y28"/>
      <c r="AA28"/>
      <c r="AB28"/>
      <c r="AC28"/>
      <c r="AD28"/>
      <c r="AE28"/>
      <c r="AF28"/>
      <c r="AG28"/>
    </row>
    <row r="29" spans="2:33" x14ac:dyDescent="0.2">
      <c r="B29"/>
      <c r="M29"/>
      <c r="N29"/>
      <c r="Q29"/>
      <c r="Y29"/>
      <c r="AA29"/>
      <c r="AB29"/>
      <c r="AC29"/>
      <c r="AD29"/>
      <c r="AE29"/>
      <c r="AF29"/>
      <c r="AG29"/>
    </row>
    <row r="30" spans="2:33" x14ac:dyDescent="0.2">
      <c r="B30"/>
      <c r="J30" s="22">
        <f>SUM(J1:J29)</f>
        <v>0</v>
      </c>
      <c r="M30"/>
      <c r="N30"/>
      <c r="Q30"/>
      <c r="Y30"/>
      <c r="AA30"/>
      <c r="AB30"/>
      <c r="AC30"/>
      <c r="AD30"/>
      <c r="AE30"/>
      <c r="AF30"/>
      <c r="AG30"/>
    </row>
    <row r="31" spans="2:33" x14ac:dyDescent="0.2">
      <c r="B31"/>
      <c r="M31"/>
      <c r="N31"/>
      <c r="Y31"/>
      <c r="AA31"/>
      <c r="AB31"/>
      <c r="AC31"/>
      <c r="AD31"/>
      <c r="AE31"/>
      <c r="AF31"/>
      <c r="AG31"/>
    </row>
    <row r="32" spans="2:33" x14ac:dyDescent="0.2">
      <c r="B32"/>
      <c r="M32"/>
      <c r="N32"/>
      <c r="Y32"/>
      <c r="AA32"/>
      <c r="AB32"/>
      <c r="AC32"/>
      <c r="AD32"/>
      <c r="AE32"/>
      <c r="AF32"/>
      <c r="AG32"/>
    </row>
    <row r="33" spans="2:33" x14ac:dyDescent="0.2">
      <c r="B33"/>
      <c r="M33"/>
      <c r="N33"/>
      <c r="Y33"/>
      <c r="AA33"/>
      <c r="AB33"/>
      <c r="AC33"/>
      <c r="AD33"/>
      <c r="AE33"/>
      <c r="AF33"/>
      <c r="AG33"/>
    </row>
    <row r="34" spans="2:33" x14ac:dyDescent="0.2">
      <c r="B34"/>
      <c r="M34"/>
      <c r="N34"/>
      <c r="Y34"/>
      <c r="AA34"/>
      <c r="AB34"/>
      <c r="AC34"/>
      <c r="AD34"/>
      <c r="AE34"/>
      <c r="AF34"/>
      <c r="AG34"/>
    </row>
    <row r="35" spans="2:33" x14ac:dyDescent="0.2">
      <c r="B35"/>
      <c r="I35" s="8" t="s">
        <v>49</v>
      </c>
      <c r="J35" s="22" t="s">
        <v>52</v>
      </c>
      <c r="M35"/>
      <c r="N35"/>
      <c r="Y35"/>
      <c r="AA35"/>
      <c r="AB35"/>
      <c r="AC35"/>
      <c r="AD35"/>
      <c r="AE35"/>
      <c r="AF35"/>
      <c r="AG35"/>
    </row>
    <row r="36" spans="2:33" x14ac:dyDescent="0.2">
      <c r="B36"/>
      <c r="I36" t="s">
        <v>9</v>
      </c>
      <c r="J36" s="22">
        <v>651145633085.30005</v>
      </c>
      <c r="M36"/>
      <c r="N36"/>
      <c r="Y36"/>
      <c r="AA36"/>
      <c r="AB36"/>
      <c r="AC36"/>
      <c r="AD36"/>
      <c r="AE36"/>
      <c r="AF36"/>
      <c r="AG36"/>
    </row>
    <row r="37" spans="2:33" x14ac:dyDescent="0.2">
      <c r="B37"/>
      <c r="I37" t="s">
        <v>29</v>
      </c>
      <c r="J37" s="22">
        <v>172823232535.44</v>
      </c>
      <c r="M37"/>
      <c r="N37"/>
      <c r="Y37"/>
      <c r="AA37"/>
      <c r="AB37"/>
      <c r="AC37"/>
      <c r="AD37"/>
      <c r="AE37"/>
      <c r="AF37"/>
      <c r="AG37"/>
    </row>
    <row r="38" spans="2:33" x14ac:dyDescent="0.2">
      <c r="B38"/>
      <c r="I38" t="s">
        <v>30</v>
      </c>
      <c r="J38" s="22">
        <v>124366774519.25</v>
      </c>
      <c r="M38"/>
      <c r="N38"/>
      <c r="Y38"/>
      <c r="AA38"/>
      <c r="AB38"/>
      <c r="AC38"/>
      <c r="AD38"/>
      <c r="AE38"/>
      <c r="AF38"/>
      <c r="AG38"/>
    </row>
    <row r="39" spans="2:33" x14ac:dyDescent="0.2">
      <c r="I39" t="s">
        <v>10</v>
      </c>
      <c r="J39" s="22">
        <v>120584157140.78</v>
      </c>
      <c r="M39"/>
      <c r="N39"/>
      <c r="Y39"/>
      <c r="AA39"/>
      <c r="AB39"/>
      <c r="AC39"/>
      <c r="AD39"/>
      <c r="AE39"/>
      <c r="AF39"/>
      <c r="AG39"/>
    </row>
    <row r="40" spans="2:33" x14ac:dyDescent="0.2">
      <c r="I40" t="s">
        <v>31</v>
      </c>
      <c r="J40" s="22">
        <v>85901607747.299988</v>
      </c>
      <c r="M40"/>
      <c r="N40"/>
      <c r="Y40"/>
      <c r="AA40"/>
      <c r="AB40"/>
      <c r="AC40"/>
      <c r="AD40"/>
      <c r="AE40"/>
      <c r="AF40"/>
      <c r="AG40"/>
    </row>
    <row r="41" spans="2:33" x14ac:dyDescent="0.2">
      <c r="I41" t="s">
        <v>11</v>
      </c>
      <c r="J41" s="22">
        <v>62246150460.359993</v>
      </c>
      <c r="M41"/>
      <c r="N41"/>
      <c r="Y41"/>
      <c r="AA41"/>
      <c r="AB41"/>
      <c r="AC41"/>
      <c r="AD41"/>
      <c r="AE41"/>
      <c r="AF41"/>
      <c r="AG41"/>
    </row>
    <row r="42" spans="2:33" x14ac:dyDescent="0.2">
      <c r="I42" t="s">
        <v>53</v>
      </c>
      <c r="J42" s="22">
        <v>58094591085.910004</v>
      </c>
      <c r="M42"/>
      <c r="N42"/>
      <c r="Y42"/>
      <c r="AA42"/>
      <c r="AB42"/>
      <c r="AC42"/>
      <c r="AD42"/>
      <c r="AE42"/>
      <c r="AF42"/>
      <c r="AG42"/>
    </row>
    <row r="43" spans="2:33" x14ac:dyDescent="0.2">
      <c r="I43" t="s">
        <v>12</v>
      </c>
      <c r="J43" s="22">
        <v>47458128071.159996</v>
      </c>
      <c r="M43"/>
      <c r="N43"/>
      <c r="Y43"/>
      <c r="AA43"/>
      <c r="AB43"/>
      <c r="AC43"/>
      <c r="AD43"/>
      <c r="AE43"/>
      <c r="AF43"/>
      <c r="AG43"/>
    </row>
    <row r="44" spans="2:33" x14ac:dyDescent="0.2">
      <c r="D44" t="s">
        <v>54</v>
      </c>
      <c r="I44" t="s">
        <v>13</v>
      </c>
      <c r="J44" s="22">
        <v>42509911699.940002</v>
      </c>
      <c r="M44"/>
      <c r="N44"/>
      <c r="Y44"/>
      <c r="AA44"/>
      <c r="AB44"/>
      <c r="AC44"/>
      <c r="AD44"/>
      <c r="AE44"/>
      <c r="AF44"/>
      <c r="AG44"/>
    </row>
    <row r="45" spans="2:33" x14ac:dyDescent="0.2">
      <c r="D45" s="21">
        <v>994404455858.06018</v>
      </c>
      <c r="I45" t="s">
        <v>14</v>
      </c>
      <c r="J45" s="22">
        <v>35756949370.010002</v>
      </c>
      <c r="Y45"/>
      <c r="AA45"/>
      <c r="AB45"/>
      <c r="AC45"/>
      <c r="AD45"/>
      <c r="AE45"/>
      <c r="AF45"/>
      <c r="AG45"/>
    </row>
    <row r="46" spans="2:33" x14ac:dyDescent="0.2">
      <c r="I46" t="s">
        <v>15</v>
      </c>
      <c r="J46" s="22">
        <v>34812381023.949997</v>
      </c>
      <c r="Y46"/>
      <c r="AA46"/>
      <c r="AB46"/>
      <c r="AC46"/>
      <c r="AD46"/>
      <c r="AE46"/>
      <c r="AF46"/>
      <c r="AG46"/>
    </row>
    <row r="47" spans="2:33" x14ac:dyDescent="0.2">
      <c r="I47" t="s">
        <v>32</v>
      </c>
      <c r="J47" s="22">
        <v>33971393160.729996</v>
      </c>
      <c r="Y47" s="8" t="s">
        <v>49</v>
      </c>
      <c r="Z47" s="22" t="s">
        <v>52</v>
      </c>
      <c r="AA47"/>
      <c r="AB47"/>
      <c r="AC47"/>
      <c r="AD47"/>
      <c r="AE47"/>
      <c r="AF47"/>
      <c r="AG47"/>
    </row>
    <row r="48" spans="2:33" x14ac:dyDescent="0.2">
      <c r="I48" t="s">
        <v>16</v>
      </c>
      <c r="J48" s="22">
        <v>32640660900.25</v>
      </c>
      <c r="Y48" t="s">
        <v>45</v>
      </c>
      <c r="Z48" s="22">
        <v>13045383440.230001</v>
      </c>
      <c r="AA48"/>
      <c r="AB48"/>
      <c r="AC48"/>
      <c r="AD48"/>
      <c r="AE48"/>
      <c r="AF48"/>
      <c r="AG48"/>
    </row>
    <row r="49" spans="9:39" x14ac:dyDescent="0.2">
      <c r="I49" t="s">
        <v>33</v>
      </c>
      <c r="J49" s="22">
        <v>28691843017.5</v>
      </c>
      <c r="Y49" t="s">
        <v>24</v>
      </c>
      <c r="Z49" s="22">
        <v>12426178539.059999</v>
      </c>
      <c r="AA49"/>
      <c r="AB49"/>
      <c r="AC49"/>
      <c r="AD49"/>
      <c r="AE49"/>
      <c r="AF49"/>
      <c r="AG49"/>
    </row>
    <row r="50" spans="9:39" x14ac:dyDescent="0.2">
      <c r="I50" t="s">
        <v>34</v>
      </c>
      <c r="J50" s="22">
        <v>25471119111.310001</v>
      </c>
      <c r="Y50" t="s">
        <v>46</v>
      </c>
      <c r="Z50" s="22">
        <v>10456776796.18</v>
      </c>
      <c r="AA50"/>
      <c r="AB50"/>
      <c r="AC50"/>
      <c r="AD50"/>
      <c r="AE50"/>
      <c r="AF50"/>
      <c r="AG50"/>
    </row>
    <row r="51" spans="9:39" x14ac:dyDescent="0.2">
      <c r="I51" t="s">
        <v>36</v>
      </c>
      <c r="J51" s="22">
        <v>24605340053.839996</v>
      </c>
      <c r="Y51" t="s">
        <v>47</v>
      </c>
      <c r="Z51" s="22">
        <v>10238110125.950001</v>
      </c>
      <c r="AA51"/>
      <c r="AB51"/>
      <c r="AC51"/>
      <c r="AD51"/>
      <c r="AE51"/>
      <c r="AF51"/>
      <c r="AG51"/>
    </row>
    <row r="52" spans="9:39" x14ac:dyDescent="0.2">
      <c r="I52" t="s">
        <v>35</v>
      </c>
      <c r="J52" s="22">
        <v>23617172198.73</v>
      </c>
      <c r="Y52" t="s">
        <v>48</v>
      </c>
      <c r="Z52" s="22">
        <v>9146249907.8299999</v>
      </c>
      <c r="AA52"/>
      <c r="AB52"/>
      <c r="AC52"/>
      <c r="AD52"/>
      <c r="AE52"/>
      <c r="AF52"/>
      <c r="AG52"/>
    </row>
    <row r="53" spans="9:39" x14ac:dyDescent="0.2">
      <c r="I53" t="s">
        <v>37</v>
      </c>
      <c r="J53" s="22">
        <v>21098947831.940002</v>
      </c>
      <c r="Y53" t="s">
        <v>50</v>
      </c>
      <c r="Z53" s="22">
        <v>55312698809.25</v>
      </c>
      <c r="AA53"/>
      <c r="AB53"/>
      <c r="AC53"/>
      <c r="AD53"/>
      <c r="AE53"/>
      <c r="AF53"/>
      <c r="AG53"/>
    </row>
    <row r="54" spans="9:39" x14ac:dyDescent="0.2">
      <c r="I54" t="s">
        <v>17</v>
      </c>
      <c r="J54" s="22">
        <v>20549414387.490002</v>
      </c>
      <c r="Y54"/>
      <c r="AA54"/>
      <c r="AB54"/>
      <c r="AC54"/>
      <c r="AD54"/>
      <c r="AE54"/>
      <c r="AF54"/>
      <c r="AG54"/>
      <c r="AK54" t="s">
        <v>68</v>
      </c>
      <c r="AM54" s="15" t="s">
        <v>55</v>
      </c>
    </row>
    <row r="55" spans="9:39" x14ac:dyDescent="0.2">
      <c r="I55" t="s">
        <v>18</v>
      </c>
      <c r="J55" s="22">
        <v>20108232055.980003</v>
      </c>
      <c r="Y55"/>
      <c r="AA55"/>
      <c r="AB55"/>
      <c r="AC55"/>
      <c r="AD55"/>
      <c r="AE55"/>
      <c r="AF55"/>
      <c r="AG55"/>
      <c r="AK55" s="18">
        <v>1925612626650.7603</v>
      </c>
      <c r="AM55" s="19">
        <v>24571134250.520004</v>
      </c>
    </row>
    <row r="56" spans="9:39" x14ac:dyDescent="0.2">
      <c r="I56" t="s">
        <v>38</v>
      </c>
      <c r="J56" s="22">
        <v>19439732224.09</v>
      </c>
      <c r="Y56"/>
      <c r="AA56"/>
      <c r="AB56"/>
      <c r="AC56"/>
      <c r="AD56"/>
      <c r="AE56"/>
      <c r="AF56"/>
      <c r="AG56"/>
    </row>
    <row r="57" spans="9:39" x14ac:dyDescent="0.2">
      <c r="I57" t="s">
        <v>19</v>
      </c>
      <c r="J57" s="22">
        <v>19337136489.82</v>
      </c>
      <c r="Y57"/>
      <c r="AA57"/>
      <c r="AH57" t="s">
        <v>56</v>
      </c>
    </row>
    <row r="58" spans="9:39" ht="35.25" x14ac:dyDescent="0.2">
      <c r="I58" t="s">
        <v>39</v>
      </c>
      <c r="J58" s="22">
        <v>19277607937.43</v>
      </c>
      <c r="Y58"/>
      <c r="AA58"/>
      <c r="AH58" s="20">
        <v>37</v>
      </c>
    </row>
    <row r="59" spans="9:39" x14ac:dyDescent="0.2">
      <c r="I59" t="s">
        <v>20</v>
      </c>
      <c r="J59" s="22">
        <v>19061946487.099998</v>
      </c>
      <c r="Y59"/>
      <c r="AA59"/>
    </row>
    <row r="60" spans="9:39" x14ac:dyDescent="0.2">
      <c r="I60" t="s">
        <v>21</v>
      </c>
      <c r="J60" s="22">
        <v>18214434263.830002</v>
      </c>
      <c r="Y60"/>
      <c r="AA60"/>
    </row>
    <row r="61" spans="9:39" x14ac:dyDescent="0.2">
      <c r="I61" t="s">
        <v>22</v>
      </c>
      <c r="J61" s="22">
        <v>17029726605.18</v>
      </c>
      <c r="Y61"/>
      <c r="AA61"/>
    </row>
    <row r="62" spans="9:39" x14ac:dyDescent="0.2">
      <c r="I62" t="s">
        <v>40</v>
      </c>
      <c r="J62" s="22">
        <v>16930259572.869997</v>
      </c>
      <c r="Y62"/>
      <c r="AA62"/>
    </row>
    <row r="63" spans="9:39" x14ac:dyDescent="0.2">
      <c r="I63" t="s">
        <v>41</v>
      </c>
      <c r="J63" s="22">
        <v>15952846966.359999</v>
      </c>
      <c r="Y63"/>
      <c r="AA63"/>
    </row>
    <row r="64" spans="9:39" x14ac:dyDescent="0.2">
      <c r="I64" t="s">
        <v>42</v>
      </c>
      <c r="J64" s="22">
        <v>15927001738.990002</v>
      </c>
      <c r="Y64"/>
      <c r="AA64"/>
    </row>
    <row r="65" spans="9:25" x14ac:dyDescent="0.2">
      <c r="I65" t="s">
        <v>43</v>
      </c>
      <c r="J65" s="22">
        <v>15902659947.629997</v>
      </c>
      <c r="Y65"/>
    </row>
    <row r="66" spans="9:25" x14ac:dyDescent="0.2">
      <c r="I66" t="s">
        <v>23</v>
      </c>
      <c r="J66" s="22">
        <v>13597161181.51</v>
      </c>
      <c r="Y66"/>
    </row>
    <row r="67" spans="9:25" x14ac:dyDescent="0.2">
      <c r="I67" t="s">
        <v>44</v>
      </c>
      <c r="J67" s="22">
        <v>13175774969.529999</v>
      </c>
      <c r="Y67"/>
    </row>
    <row r="68" spans="9:25" x14ac:dyDescent="0.2">
      <c r="I68" t="s">
        <v>45</v>
      </c>
      <c r="J68" s="22">
        <v>13045383440.230001</v>
      </c>
      <c r="Y68"/>
    </row>
    <row r="69" spans="9:25" x14ac:dyDescent="0.2">
      <c r="I69" t="s">
        <v>24</v>
      </c>
      <c r="J69" s="22">
        <v>12426178539.059999</v>
      </c>
      <c r="Y69"/>
    </row>
    <row r="70" spans="9:25" x14ac:dyDescent="0.2">
      <c r="I70" t="s">
        <v>46</v>
      </c>
      <c r="J70" s="22">
        <v>10456776796.18</v>
      </c>
      <c r="Y70"/>
    </row>
    <row r="71" spans="9:25" x14ac:dyDescent="0.2">
      <c r="I71" t="s">
        <v>47</v>
      </c>
      <c r="J71" s="22">
        <v>10238110125.950001</v>
      </c>
      <c r="Y71"/>
    </row>
    <row r="72" spans="9:25" x14ac:dyDescent="0.2">
      <c r="I72" t="s">
        <v>48</v>
      </c>
      <c r="J72" s="22">
        <v>9146249907.8299999</v>
      </c>
      <c r="Y72"/>
    </row>
    <row r="73" spans="9:25" x14ac:dyDescent="0.2">
      <c r="I73" t="s">
        <v>50</v>
      </c>
      <c r="J73" s="22">
        <v>1925612626650.76</v>
      </c>
      <c r="Y73"/>
    </row>
    <row r="74" spans="9:25" x14ac:dyDescent="0.2">
      <c r="Y74"/>
    </row>
    <row r="75" spans="9:25" x14ac:dyDescent="0.2">
      <c r="Y75"/>
    </row>
    <row r="76" spans="9:25" x14ac:dyDescent="0.2">
      <c r="Y76"/>
    </row>
    <row r="77" spans="9:25" x14ac:dyDescent="0.2">
      <c r="Y77"/>
    </row>
    <row r="78" spans="9:25" x14ac:dyDescent="0.2">
      <c r="Y78"/>
    </row>
    <row r="79" spans="9:25" x14ac:dyDescent="0.2">
      <c r="Y79"/>
    </row>
    <row r="80" spans="9:25" x14ac:dyDescent="0.2">
      <c r="Y80"/>
    </row>
    <row r="81" spans="25:25" x14ac:dyDescent="0.2">
      <c r="Y81"/>
    </row>
    <row r="82" spans="25:25" x14ac:dyDescent="0.2">
      <c r="Y82"/>
    </row>
    <row r="83" spans="25:25" x14ac:dyDescent="0.2">
      <c r="Y83"/>
    </row>
    <row r="84" spans="25:25" x14ac:dyDescent="0.2">
      <c r="Y84"/>
    </row>
    <row r="85" spans="25:25" x14ac:dyDescent="0.2">
      <c r="Y85"/>
    </row>
  </sheetData>
  <dataConsolidate/>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2022</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Dashe Jephthah</dc:creator>
  <cp:lastModifiedBy>Dashe Jephthah</cp:lastModifiedBy>
  <dcterms:created xsi:type="dcterms:W3CDTF">2023-08-11T12:06:48Z</dcterms:created>
  <dcterms:modified xsi:type="dcterms:W3CDTF">2025-08-08T15:27:43Z</dcterms:modified>
</cp:coreProperties>
</file>